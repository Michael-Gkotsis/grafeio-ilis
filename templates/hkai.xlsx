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1" autoFilterDateGrouping="1"/>
  </bookViews>
  <sheets>
    <sheet xmlns:r="http://schemas.openxmlformats.org/officeDocument/2006/relationships" name="μπροστινο" sheetId="1" state="visible" r:id="rId1"/>
    <sheet xmlns:r="http://schemas.openxmlformats.org/officeDocument/2006/relationships" name="πισω" sheetId="2" state="visible" r:id="rId2"/>
  </sheets>
  <definedNames>
    <definedName name="_xlnm.Print_Area" localSheetId="0">'μπροστινο'!$A$1:$AC$45</definedName>
    <definedName name="_xlnm.Print_Area" localSheetId="1">'πισω'!$A$1:$N$37</definedName>
  </definedNames>
  <calcPr calcId="152511" fullCalcOnLoad="1"/>
</workbook>
</file>

<file path=xl/styles.xml><?xml version="1.0" encoding="utf-8"?>
<styleSheet xmlns="http://schemas.openxmlformats.org/spreadsheetml/2006/main">
  <numFmts count="2">
    <numFmt numFmtId="164" formatCode="d\ mmm\ yy"/>
    <numFmt numFmtId="165" formatCode="_-* #,##0.00&quot; €&quot;_-;\-* #,##0.00&quot; €&quot;_-;_-* \-??&quot; €&quot;_-;_-@_-"/>
  </numFmts>
  <fonts count="16">
    <font>
      <name val="Book Antiqua"/>
      <charset val="161"/>
      <family val="1"/>
      <sz val="10"/>
    </font>
    <font>
      <name val="Arial"/>
      <charset val="161"/>
      <family val="2"/>
      <sz val="10"/>
    </font>
    <font>
      <name val="Arial"/>
      <charset val="161"/>
      <family val="2"/>
      <sz val="12"/>
      <u val="single"/>
    </font>
    <font>
      <name val="Arial"/>
      <charset val="161"/>
      <family val="2"/>
      <color theme="0" tint="-0.499984740745262"/>
      <sz val="10"/>
    </font>
    <font>
      <name val="Arial"/>
      <charset val="161"/>
      <family val="2"/>
      <color theme="0" tint="-0.499984740745262"/>
      <sz val="10"/>
      <u val="single"/>
    </font>
    <font>
      <name val="Arial"/>
      <charset val="161"/>
      <family val="2"/>
      <b val="1"/>
      <sz val="18"/>
    </font>
    <font>
      <name val="Arial"/>
      <charset val="161"/>
      <family val="2"/>
      <b val="1"/>
      <sz val="9"/>
    </font>
    <font>
      <name val="Arial"/>
      <charset val="161"/>
      <family val="2"/>
      <b val="1"/>
      <sz val="12"/>
    </font>
    <font>
      <name val="Arial"/>
      <charset val="161"/>
      <family val="2"/>
      <sz val="9"/>
    </font>
    <font>
      <name val="Arial"/>
      <charset val="161"/>
      <family val="2"/>
      <sz val="12"/>
    </font>
    <font>
      <name val="Arial"/>
      <charset val="161"/>
      <family val="2"/>
      <sz val="8"/>
    </font>
    <font>
      <name val="Arial"/>
      <charset val="161"/>
      <family val="2"/>
      <b val="1"/>
      <color theme="1"/>
      <sz val="9"/>
    </font>
    <font>
      <name val="Arial"/>
      <charset val="161"/>
      <family val="2"/>
      <b val="1"/>
      <color theme="1"/>
      <sz val="12"/>
    </font>
    <font>
      <name val="Arial"/>
      <charset val="161"/>
      <family val="2"/>
      <sz val="11"/>
    </font>
    <font>
      <name val="Arial"/>
      <charset val="161"/>
      <family val="2"/>
      <color theme="1"/>
      <sz val="12"/>
    </font>
    <font>
      <name val="Book Antiqua"/>
      <charset val="161"/>
      <family val="1"/>
      <sz val="10"/>
    </font>
  </fonts>
  <fills count="6">
    <fill>
      <patternFill/>
    </fill>
    <fill>
      <patternFill patternType="gray125"/>
    </fill>
    <fill>
      <patternFill patternType="solid">
        <fgColor theme="0" tint="-0.1499984740745262"/>
        <bgColor rgb="FFDDD9C3"/>
      </patternFill>
    </fill>
    <fill>
      <patternFill patternType="solid">
        <fgColor theme="0" tint="-0.0499893185216834"/>
        <bgColor rgb="FFFFFFCC"/>
      </patternFill>
    </fill>
    <fill>
      <patternFill patternType="solid">
        <fgColor theme="3" tint="0.7998901333658864"/>
        <bgColor rgb="FFD9D9D9"/>
      </patternFill>
    </fill>
    <fill>
      <patternFill patternType="solid">
        <fgColor theme="2" tint="-0.09997863704336681"/>
        <bgColor rgb="FFD9D9D9"/>
      </patternFill>
    </fill>
  </fills>
  <borders count="6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</borders>
  <cellStyleXfs count="3">
    <xf numFmtId="0" fontId="15" fillId="0" borderId="0"/>
    <xf numFmtId="165" fontId="15" fillId="0" borderId="0"/>
    <xf numFmtId="0" fontId="1" fillId="0" borderId="0"/>
  </cellStyleXfs>
  <cellXfs count="19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right" vertical="center"/>
    </xf>
    <xf numFmtId="14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4" fontId="2" fillId="0" borderId="0" applyAlignment="1" pivotButton="0" quotePrefix="0" xfId="0">
      <alignment horizontal="center" vertical="center"/>
    </xf>
    <xf numFmtId="0" fontId="8" fillId="2" borderId="11" applyAlignment="1" pivotButton="0" quotePrefix="0" xfId="0">
      <alignment horizontal="center"/>
    </xf>
    <xf numFmtId="0" fontId="8" fillId="2" borderId="12" applyAlignment="1" pivotButton="0" quotePrefix="0" xfId="0">
      <alignment horizontal="center"/>
    </xf>
    <xf numFmtId="0" fontId="8" fillId="2" borderId="1" applyAlignment="1" pivotButton="0" quotePrefix="0" xfId="0">
      <alignment horizontal="center"/>
    </xf>
    <xf numFmtId="0" fontId="8" fillId="2" borderId="13" applyAlignment="1" pivotButton="0" quotePrefix="0" xfId="0">
      <alignment horizontal="center"/>
    </xf>
    <xf numFmtId="0" fontId="8" fillId="2" borderId="14" applyAlignment="1" pivotButton="0" quotePrefix="0" xfId="0">
      <alignment horizontal="center"/>
    </xf>
    <xf numFmtId="0" fontId="8" fillId="2" borderId="15" applyAlignment="1" pivotButton="0" quotePrefix="0" xfId="0">
      <alignment horizontal="center"/>
    </xf>
    <xf numFmtId="0" fontId="8" fillId="2" borderId="16" applyAlignment="1" pivotButton="0" quotePrefix="0" xfId="0">
      <alignment horizontal="center"/>
    </xf>
    <xf numFmtId="0" fontId="8" fillId="2" borderId="17" applyAlignment="1" pivotButton="0" quotePrefix="0" xfId="0">
      <alignment horizontal="center"/>
    </xf>
    <xf numFmtId="0" fontId="8" fillId="2" borderId="18" applyAlignment="1" pivotButton="0" quotePrefix="0" xfId="0">
      <alignment horizontal="center"/>
    </xf>
    <xf numFmtId="0" fontId="8" fillId="2" borderId="19" applyAlignment="1" pivotButton="0" quotePrefix="0" xfId="0">
      <alignment horizontal="center"/>
    </xf>
    <xf numFmtId="0" fontId="8" fillId="2" borderId="20" applyAlignment="1" pivotButton="0" quotePrefix="0" xfId="0">
      <alignment horizontal="center"/>
    </xf>
    <xf numFmtId="0" fontId="8" fillId="0" borderId="21" applyAlignment="1" pivotButton="0" quotePrefix="0" xfId="0">
      <alignment horizontal="center" vertical="center"/>
    </xf>
    <xf numFmtId="0" fontId="8" fillId="0" borderId="22" applyAlignment="1" pivotButton="0" quotePrefix="0" xfId="0">
      <alignment horizontal="left" vertical="center"/>
    </xf>
    <xf numFmtId="0" fontId="8" fillId="2" borderId="23" applyAlignment="1" pivotButton="0" quotePrefix="0" xfId="0">
      <alignment horizontal="center" vertical="center"/>
    </xf>
    <xf numFmtId="0" fontId="8" fillId="0" borderId="24" applyAlignment="1" pivotButton="0" quotePrefix="0" xfId="0">
      <alignment horizontal="center" vertical="center"/>
    </xf>
    <xf numFmtId="0" fontId="8" fillId="0" borderId="25" applyAlignment="1" pivotButton="0" quotePrefix="0" xfId="0">
      <alignment horizontal="center" vertical="center"/>
    </xf>
    <xf numFmtId="0" fontId="8" fillId="2" borderId="26" applyAlignment="1" pivotButton="0" quotePrefix="0" xfId="0">
      <alignment horizontal="center" vertical="center"/>
    </xf>
    <xf numFmtId="0" fontId="8" fillId="0" borderId="27" applyAlignment="1" pivotButton="0" quotePrefix="0" xfId="0">
      <alignment horizontal="center" vertical="center"/>
    </xf>
    <xf numFmtId="0" fontId="9" fillId="2" borderId="26" applyAlignment="1" pivotButton="0" quotePrefix="0" xfId="0">
      <alignment horizontal="center" vertical="center"/>
    </xf>
    <xf numFmtId="0" fontId="8" fillId="0" borderId="29" applyAlignment="1" pivotButton="0" quotePrefix="0" xfId="0">
      <alignment horizontal="center" vertical="center"/>
    </xf>
    <xf numFmtId="0" fontId="10" fillId="0" borderId="30" applyAlignment="1" pivotButton="0" quotePrefix="0" xfId="0">
      <alignment horizontal="left" vertical="center"/>
    </xf>
    <xf numFmtId="0" fontId="8" fillId="2" borderId="31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8" fillId="0" borderId="32" applyAlignment="1" pivotButton="0" quotePrefix="0" xfId="0">
      <alignment horizontal="center" vertical="center"/>
    </xf>
    <xf numFmtId="0" fontId="8" fillId="2" borderId="22" applyAlignment="1" pivotButton="0" quotePrefix="0" xfId="0">
      <alignment horizontal="center" vertical="center"/>
    </xf>
    <xf numFmtId="0" fontId="8" fillId="0" borderId="33" applyAlignment="1" pivotButton="0" quotePrefix="0" xfId="0">
      <alignment horizontal="center" vertical="center"/>
    </xf>
    <xf numFmtId="0" fontId="9" fillId="2" borderId="22" applyAlignment="1" pivotButton="0" quotePrefix="0" xfId="0">
      <alignment horizontal="center" vertical="center"/>
    </xf>
    <xf numFmtId="0" fontId="8" fillId="0" borderId="31" applyAlignment="1" pivotButton="0" quotePrefix="0" xfId="0">
      <alignment horizontal="center" vertical="center"/>
    </xf>
    <xf numFmtId="0" fontId="8" fillId="0" borderId="35" applyAlignment="1" pivotButton="0" quotePrefix="0" xfId="0">
      <alignment horizontal="left" vertical="center"/>
    </xf>
    <xf numFmtId="0" fontId="8" fillId="0" borderId="7" applyAlignment="1" pivotButton="0" quotePrefix="0" xfId="0">
      <alignment horizontal="center" vertical="center"/>
    </xf>
    <xf numFmtId="0" fontId="8" fillId="2" borderId="7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8" fillId="0" borderId="36" applyAlignment="1" pivotButton="0" quotePrefix="0" xfId="0">
      <alignment horizontal="center" vertical="center"/>
    </xf>
    <xf numFmtId="0" fontId="8" fillId="2" borderId="37" applyAlignment="1" pivotButton="0" quotePrefix="0" xfId="0">
      <alignment horizontal="center" vertical="center"/>
    </xf>
    <xf numFmtId="0" fontId="8" fillId="0" borderId="38" applyAlignment="1" pivotButton="0" quotePrefix="0" xfId="0">
      <alignment horizontal="center" vertical="center"/>
    </xf>
    <xf numFmtId="0" fontId="9" fillId="2" borderId="37" applyAlignment="1" pivotButton="0" quotePrefix="0" xfId="0">
      <alignment horizontal="center" vertical="center"/>
    </xf>
    <xf numFmtId="0" fontId="8" fillId="0" borderId="39" applyAlignment="1" pivotButton="0" quotePrefix="0" xfId="0">
      <alignment horizontal="left" vertical="center"/>
    </xf>
    <xf numFmtId="0" fontId="6" fillId="3" borderId="22" applyAlignment="1" pivotButton="0" quotePrefix="0" xfId="0">
      <alignment horizontal="left" vertical="center"/>
    </xf>
    <xf numFmtId="0" fontId="6" fillId="2" borderId="40" applyAlignment="1" pivotButton="0" quotePrefix="0" xfId="0">
      <alignment horizontal="center" vertical="center"/>
    </xf>
    <xf numFmtId="0" fontId="6" fillId="2" borderId="41" applyAlignment="1" pivotButton="0" quotePrefix="0" xfId="0">
      <alignment horizontal="center" vertical="center"/>
    </xf>
    <xf numFmtId="0" fontId="7" fillId="2" borderId="17" applyAlignment="1" pivotButton="0" quotePrefix="0" xfId="0">
      <alignment horizontal="center" vertical="center"/>
    </xf>
    <xf numFmtId="0" fontId="6" fillId="2" borderId="42" applyAlignment="1" pivotButton="0" quotePrefix="0" xfId="0">
      <alignment horizontal="center" vertical="center"/>
    </xf>
    <xf numFmtId="0" fontId="8" fillId="0" borderId="35" applyAlignment="1" pivotButton="0" quotePrefix="0" xfId="0">
      <alignment horizontal="center" vertical="center"/>
    </xf>
    <xf numFmtId="0" fontId="8" fillId="0" borderId="30" applyAlignment="1" pivotButton="0" quotePrefix="0" xfId="0">
      <alignment horizontal="left" vertical="center"/>
    </xf>
    <xf numFmtId="0" fontId="6" fillId="0" borderId="22" applyAlignment="1" pivotButton="0" quotePrefix="0" xfId="0">
      <alignment horizontal="left" vertical="center"/>
    </xf>
    <xf numFmtId="0" fontId="11" fillId="4" borderId="40" applyAlignment="1" pivotButton="0" quotePrefix="0" xfId="0">
      <alignment horizontal="center" vertical="center"/>
    </xf>
    <xf numFmtId="0" fontId="12" fillId="4" borderId="17" applyAlignment="1" pivotButton="0" quotePrefix="0" xfId="0">
      <alignment horizontal="center" vertical="center"/>
    </xf>
    <xf numFmtId="0" fontId="11" fillId="4" borderId="42" applyAlignment="1" pivotButton="0" quotePrefix="0" xfId="0">
      <alignment horizontal="center" vertical="center"/>
    </xf>
    <xf numFmtId="0" fontId="6" fillId="0" borderId="43" applyAlignment="1" pivotButton="0" quotePrefix="0" xfId="0">
      <alignment horizontal="left" vertical="center"/>
    </xf>
    <xf numFmtId="0" fontId="6" fillId="5" borderId="40" applyAlignment="1" pivotButton="0" quotePrefix="0" xfId="0">
      <alignment horizontal="center" vertical="center"/>
    </xf>
    <xf numFmtId="0" fontId="6" fillId="5" borderId="41" applyAlignment="1" pivotButton="0" quotePrefix="0" xfId="0">
      <alignment horizontal="center" vertical="center"/>
    </xf>
    <xf numFmtId="0" fontId="7" fillId="5" borderId="17" applyAlignment="1" pivotButton="0" quotePrefix="0" xfId="0">
      <alignment horizontal="center" vertical="center"/>
    </xf>
    <xf numFmtId="0" fontId="6" fillId="5" borderId="42" applyAlignment="1" pivotButton="0" quotePrefix="0" xfId="0">
      <alignment horizontal="center" vertical="center"/>
    </xf>
    <xf numFmtId="0" fontId="8" fillId="0" borderId="20" applyAlignment="1" pivotButton="0" quotePrefix="0" xfId="0">
      <alignment horizontal="center" vertical="center"/>
    </xf>
    <xf numFmtId="0" fontId="8" fillId="0" borderId="21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9" fillId="0" borderId="0" pivotButton="0" quotePrefix="0" xfId="0"/>
    <xf numFmtId="0" fontId="9" fillId="0" borderId="10" applyAlignment="1" pivotButton="0" quotePrefix="0" xfId="0">
      <alignment horizontal="center" vertical="center"/>
    </xf>
    <xf numFmtId="0" fontId="9" fillId="0" borderId="33" applyAlignment="1" pivotButton="0" quotePrefix="0" xfId="0">
      <alignment vertical="center"/>
    </xf>
    <xf numFmtId="0" fontId="9" fillId="0" borderId="10" applyAlignment="1" pivotButton="0" quotePrefix="0" xfId="0">
      <alignment vertical="center"/>
    </xf>
    <xf numFmtId="0" fontId="9" fillId="0" borderId="10" applyAlignment="1" pivotButton="0" quotePrefix="0" xfId="0">
      <alignment vertical="top" wrapText="1"/>
    </xf>
    <xf numFmtId="0" fontId="9" fillId="0" borderId="0" applyAlignment="1" pivotButton="0" quotePrefix="0" xfId="0">
      <alignment horizontal="left" vertical="center"/>
    </xf>
    <xf numFmtId="0" fontId="9" fillId="0" borderId="44" applyAlignment="1" pivotButton="0" quotePrefix="0" xfId="0">
      <alignment vertical="center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/>
    </xf>
    <xf numFmtId="0" fontId="9" fillId="0" borderId="24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/>
    </xf>
    <xf numFmtId="0" fontId="9" fillId="0" borderId="32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9" fillId="0" borderId="36" applyAlignment="1" pivotButton="0" quotePrefix="0" xfId="0">
      <alignment horizontal="center" vertical="center"/>
    </xf>
    <xf numFmtId="0" fontId="9" fillId="2" borderId="23" applyAlignment="1" pivotButton="0" quotePrefix="0" xfId="0">
      <alignment horizontal="center" vertical="center"/>
    </xf>
    <xf numFmtId="0" fontId="9" fillId="2" borderId="31" applyAlignment="1" pivotButton="0" quotePrefix="0" xfId="0">
      <alignment horizontal="center" vertical="center"/>
    </xf>
    <xf numFmtId="0" fontId="9" fillId="2" borderId="7" applyAlignment="1" pivotButton="0" quotePrefix="0" xfId="0">
      <alignment horizontal="center" vertical="center"/>
    </xf>
    <xf numFmtId="0" fontId="12" fillId="4" borderId="11" applyAlignment="1" pivotButton="0" quotePrefix="0" xfId="0">
      <alignment horizontal="center" vertical="center"/>
    </xf>
    <xf numFmtId="0" fontId="12" fillId="4" borderId="40" applyAlignment="1" pivotButton="0" quotePrefix="0" xfId="0">
      <alignment horizontal="center" vertical="center"/>
    </xf>
    <xf numFmtId="0" fontId="12" fillId="4" borderId="41" applyAlignment="1" pivotButton="0" quotePrefix="0" xfId="0">
      <alignment horizontal="center" vertical="center"/>
    </xf>
    <xf numFmtId="0" fontId="7" fillId="5" borderId="11" applyAlignment="1" pivotButton="0" quotePrefix="0" xfId="0">
      <alignment horizontal="center" vertical="center"/>
    </xf>
    <xf numFmtId="0" fontId="7" fillId="5" borderId="40" applyAlignment="1" pivotButton="0" quotePrefix="0" xfId="0">
      <alignment horizontal="center" vertical="center"/>
    </xf>
    <xf numFmtId="0" fontId="7" fillId="5" borderId="41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/>
    </xf>
    <xf numFmtId="0" fontId="9" fillId="0" borderId="33" applyAlignment="1" pivotButton="0" quotePrefix="0" xfId="0">
      <alignment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9" fillId="0" borderId="10" applyAlignment="1" pivotButton="0" quotePrefix="0" xfId="0">
      <alignment horizontal="center" wrapText="1"/>
    </xf>
    <xf numFmtId="0" fontId="9" fillId="2" borderId="46" applyAlignment="1" pivotButton="0" quotePrefix="0" xfId="0">
      <alignment horizontal="center" vertical="center"/>
    </xf>
    <xf numFmtId="0" fontId="9" fillId="2" borderId="47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9" fillId="2" borderId="49" applyAlignment="1" pivotButton="0" quotePrefix="0" xfId="0">
      <alignment horizontal="center" vertical="center"/>
    </xf>
    <xf numFmtId="0" fontId="9" fillId="0" borderId="33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vertical="center" wrapText="1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2" fillId="4" borderId="55" applyAlignment="1" pivotButton="0" quotePrefix="0" xfId="0">
      <alignment horizontal="center" vertical="center"/>
    </xf>
    <xf numFmtId="0" fontId="7" fillId="5" borderId="50" applyAlignment="1" pivotButton="0" quotePrefix="0" xfId="0">
      <alignment horizontal="center" vertical="center"/>
    </xf>
    <xf numFmtId="0" fontId="11" fillId="4" borderId="1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textRotation="90"/>
    </xf>
    <xf numFmtId="0" fontId="6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textRotation="90"/>
    </xf>
    <xf numFmtId="0" fontId="6" fillId="0" borderId="5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textRotation="90"/>
    </xf>
    <xf numFmtId="0" fontId="8" fillId="0" borderId="5" applyAlignment="1" pivotButton="0" quotePrefix="0" xfId="0">
      <alignment horizontal="center" textRotation="90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textRotation="90"/>
    </xf>
    <xf numFmtId="0" fontId="8" fillId="0" borderId="8" applyAlignment="1" pivotButton="0" quotePrefix="0" xfId="0">
      <alignment horizontal="center" textRotation="90"/>
    </xf>
    <xf numFmtId="0" fontId="8" fillId="0" borderId="9" applyAlignment="1" pivotButton="0" quotePrefix="0" xfId="0">
      <alignment horizontal="center" textRotation="90" wrapText="1"/>
    </xf>
    <xf numFmtId="0" fontId="8" fillId="0" borderId="10" applyAlignment="1" pivotButton="0" quotePrefix="0" xfId="0">
      <alignment horizontal="center"/>
    </xf>
    <xf numFmtId="0" fontId="6" fillId="0" borderId="8" applyAlignment="1" pivotButton="0" quotePrefix="0" xfId="0">
      <alignment horizontal="center" textRotation="90"/>
    </xf>
    <xf numFmtId="0" fontId="9" fillId="0" borderId="0" applyAlignment="1" pivotButton="0" quotePrefix="0" xfId="0">
      <alignment horizontal="center" vertical="center"/>
    </xf>
    <xf numFmtId="0" fontId="9" fillId="0" borderId="27" applyAlignment="1" pivotButton="0" quotePrefix="0" xfId="0">
      <alignment horizontal="center" vertical="center"/>
    </xf>
    <xf numFmtId="0" fontId="9" fillId="0" borderId="24" applyAlignment="1" pivotButton="0" quotePrefix="0" xfId="0">
      <alignment horizontal="center" vertical="center"/>
    </xf>
    <xf numFmtId="0" fontId="9" fillId="0" borderId="28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textRotation="90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textRotation="90" wrapText="1"/>
    </xf>
    <xf numFmtId="0" fontId="9" fillId="0" borderId="34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/>
    </xf>
    <xf numFmtId="0" fontId="13" fillId="0" borderId="10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9" fillId="0" borderId="32" applyAlignment="1" pivotButton="0" quotePrefix="0" xfId="0">
      <alignment horizontal="center" vertical="center"/>
    </xf>
    <xf numFmtId="0" fontId="9" fillId="0" borderId="45" applyAlignment="1" pivotButton="0" quotePrefix="0" xfId="0">
      <alignment horizontal="center" vertical="center"/>
    </xf>
    <xf numFmtId="0" fontId="9" fillId="0" borderId="31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9" fillId="0" borderId="36" applyAlignment="1" pivotButton="0" quotePrefix="0" xfId="0">
      <alignment horizontal="center" vertical="center" wrapText="1"/>
    </xf>
    <xf numFmtId="0" fontId="9" fillId="0" borderId="51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52" applyAlignment="1" pivotButton="0" quotePrefix="0" xfId="0">
      <alignment horizontal="center" vertical="center" wrapText="1"/>
    </xf>
    <xf numFmtId="0" fontId="9" fillId="0" borderId="53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54" applyAlignment="1" pivotButton="0" quotePrefix="0" xfId="0">
      <alignment horizontal="center" vertical="center" wrapText="1"/>
    </xf>
    <xf numFmtId="0" fontId="9" fillId="0" borderId="48" applyAlignment="1" pivotButton="0" quotePrefix="0" xfId="0">
      <alignment horizontal="center" vertical="center" wrapText="1"/>
    </xf>
    <xf numFmtId="0" fontId="9" fillId="0" borderId="33" applyAlignment="1" pivotButton="0" quotePrefix="0" xfId="0">
      <alignment vertical="center"/>
    </xf>
    <xf numFmtId="0" fontId="9" fillId="0" borderId="33" applyAlignment="1" pivotButton="0" quotePrefix="0" xfId="0">
      <alignment horizontal="left" vertical="center"/>
    </xf>
    <xf numFmtId="164" fontId="2" fillId="0" borderId="0" applyAlignment="1" pivotButton="0" quotePrefix="0" xfId="0">
      <alignment vertical="center"/>
    </xf>
    <xf numFmtId="0" fontId="0" fillId="0" borderId="3" pivotButton="0" quotePrefix="0" xfId="0"/>
    <xf numFmtId="0" fontId="0" fillId="0" borderId="61" pivotButton="0" quotePrefix="0" xfId="0"/>
    <xf numFmtId="0" fontId="0" fillId="0" borderId="58" pivotButton="0" quotePrefix="0" xfId="0"/>
    <xf numFmtId="0" fontId="0" fillId="0" borderId="59" pivotButton="0" quotePrefix="0" xfId="0"/>
    <xf numFmtId="0" fontId="0" fillId="0" borderId="54" pivotButton="0" quotePrefix="0" xfId="0"/>
    <xf numFmtId="0" fontId="0" fillId="0" borderId="31" pivotButton="0" quotePrefix="0" xfId="0"/>
    <xf numFmtId="0" fontId="0" fillId="0" borderId="62" pivotButton="0" quotePrefix="0" xfId="0"/>
    <xf numFmtId="0" fontId="0" fillId="0" borderId="56" pivotButton="0" quotePrefix="0" xfId="0"/>
    <xf numFmtId="0" fontId="0" fillId="0" borderId="48" pivotButton="0" quotePrefix="0" xfId="0"/>
    <xf numFmtId="0" fontId="0" fillId="0" borderId="30" pivotButton="0" quotePrefix="0" xfId="0"/>
    <xf numFmtId="0" fontId="0" fillId="0" borderId="63" pivotButton="0" quotePrefix="0" xfId="0"/>
    <xf numFmtId="0" fontId="0" fillId="0" borderId="23" pivotButton="0" quotePrefix="0" xfId="0"/>
    <xf numFmtId="0" fontId="0" fillId="0" borderId="46" pivotButton="0" quotePrefix="0" xfId="0"/>
    <xf numFmtId="0" fontId="0" fillId="0" borderId="49" pivotButton="0" quotePrefix="0" xfId="0"/>
    <xf numFmtId="0" fontId="0" fillId="0" borderId="65" pivotButton="0" quotePrefix="0" xfId="0"/>
    <xf numFmtId="0" fontId="0" fillId="0" borderId="44" pivotButton="0" quotePrefix="0" xfId="0"/>
    <xf numFmtId="0" fontId="0" fillId="0" borderId="67" pivotButton="0" quotePrefix="0" xfId="0"/>
    <xf numFmtId="0" fontId="0" fillId="0" borderId="66" pivotButton="0" quotePrefix="0" xfId="0"/>
    <xf numFmtId="0" fontId="0" fillId="0" borderId="52" pivotButton="0" quotePrefix="0" xfId="0"/>
    <xf numFmtId="0" fontId="0" fillId="0" borderId="68" pivotButton="0" quotePrefix="0" xfId="0"/>
    <xf numFmtId="0" fontId="0" fillId="0" borderId="47" pivotButton="0" quotePrefix="0" xfId="0"/>
    <xf numFmtId="0" fontId="0" fillId="0" borderId="45" pivotButton="0" quotePrefix="0" xfId="0"/>
    <xf numFmtId="0" fontId="0" fillId="0" borderId="51" pivotButton="0" quotePrefix="0" xfId="0"/>
    <xf numFmtId="0" fontId="0" fillId="0" borderId="7" pivotButton="0" quotePrefix="0" xfId="0"/>
    <xf numFmtId="0" fontId="0" fillId="0" borderId="53" pivotButton="0" quotePrefix="0" xfId="0"/>
    <xf numFmtId="0" fontId="0" fillId="0" borderId="29" pivotButton="0" quotePrefix="0" xfId="0"/>
  </cellXfs>
  <cellStyles count="3">
    <cellStyle name="Κανονικό" xfId="0" builtinId="0"/>
    <cellStyle name="Euro" xfId="1"/>
    <cellStyle name="Βασικό_ΥΠΟΔΕΙΓΜΑ ΣΥΝΤΑΞΗΣ ΗΚΑΙ" xfId="2"/>
  </cellStyles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43"/>
  <sheetViews>
    <sheetView view="pageBreakPreview" topLeftCell="A4" zoomScale="80" zoomScaleNormal="90" zoomScaleSheetLayoutView="80" zoomScalePageLayoutView="90" workbookViewId="0">
      <selection activeCell="AA27" sqref="AA27"/>
    </sheetView>
  </sheetViews>
  <sheetFormatPr baseColWidth="8" defaultColWidth="9.140625" defaultRowHeight="12" customHeight="1"/>
  <cols>
    <col width="26.28515625" customWidth="1" style="2" min="1" max="1"/>
    <col width="6.7109375" customWidth="1" style="2" min="2" max="7"/>
    <col width="8.28515625" customWidth="1" style="2" min="8" max="8"/>
    <col width="6.7109375" customWidth="1" style="2" min="9" max="22"/>
    <col width="5.85546875" customWidth="1" style="2" min="23" max="23"/>
    <col width="8.42578125" customWidth="1" style="2" min="24" max="24"/>
    <col width="6.7109375" customWidth="1" style="2" min="25" max="26"/>
    <col width="8" customWidth="1" style="2" min="27" max="27"/>
    <col width="5.140625" customWidth="1" style="2" min="28" max="28"/>
    <col width="26.85546875" customWidth="1" style="2" min="29" max="29"/>
    <col width="9.140625" customWidth="1" style="2" min="30" max="16384"/>
  </cols>
  <sheetData>
    <row r="1" ht="15" customHeight="1">
      <c r="A1" s="117" t="inlineStr">
        <is>
          <t>ΚΕΤΘ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5" t="n"/>
    </row>
    <row r="2" ht="28.5" customHeight="1">
      <c r="A2" s="117" t="inlineStr">
        <is>
          <t>2Η ΕΠΧΙΑ</t>
        </is>
      </c>
      <c r="P2" s="3" t="n"/>
      <c r="Q2" s="3" t="n"/>
      <c r="R2" s="3" t="n"/>
      <c r="S2" s="6" t="n"/>
      <c r="T2" s="7" t="n"/>
      <c r="U2" s="7" t="n"/>
      <c r="V2" s="7" t="n"/>
      <c r="W2" s="7" t="n"/>
      <c r="X2" s="7" t="n"/>
      <c r="Y2" s="7" t="n"/>
      <c r="Z2" s="7" t="n"/>
      <c r="AA2" s="163" t="n"/>
      <c r="AB2" s="163" t="n"/>
    </row>
    <row r="3" ht="15" customHeight="1">
      <c r="A3" s="117" t="inlineStr">
        <is>
          <t>ΚΑΤΑΣΤΑΣΗ</t>
        </is>
      </c>
    </row>
    <row r="4" ht="15" customHeight="1">
      <c r="A4" s="117" t="inlineStr">
        <is>
          <t>ΗΜΕΡΗΣΙΑΣ ΑΝΑΦΟΡΑΣ 4ης ΙΛΗΣ ΤΗΣ</t>
        </is>
      </c>
    </row>
    <row r="5" ht="9" customHeight="1">
      <c r="A5" s="3" t="n"/>
      <c r="P5" s="117" t="n"/>
      <c r="Q5" s="117" t="n"/>
      <c r="R5" s="117" t="n"/>
      <c r="S5" s="6" t="n"/>
      <c r="T5" s="9" t="n"/>
      <c r="U5" s="9" t="n"/>
      <c r="V5" s="9" t="n"/>
      <c r="W5" s="9" t="n"/>
      <c r="X5" s="9" t="n"/>
      <c r="Y5" s="9" t="n"/>
      <c r="Z5" s="9" t="n"/>
      <c r="AA5" s="163" t="n"/>
      <c r="AB5" s="163" t="n"/>
    </row>
    <row r="6" ht="16.5" customHeight="1">
      <c r="A6" s="118" t="inlineStr">
        <is>
          <t>ΒΑΘΜΟΙ</t>
        </is>
      </c>
      <c r="B6" s="119" t="inlineStr">
        <is>
          <t>Προβλέπονται από τη σύνθεση</t>
        </is>
      </c>
      <c r="C6" s="120" t="inlineStr">
        <is>
          <t>ΔΥΝΑΜΗ</t>
        </is>
      </c>
      <c r="D6" s="164" t="n"/>
      <c r="E6" s="121" t="inlineStr">
        <is>
          <t>Σύνολο</t>
        </is>
      </c>
      <c r="F6" s="122" t="inlineStr">
        <is>
          <t>ΚΩΛΥΟΜΕΝΟΙ</t>
        </is>
      </c>
      <c r="G6" s="165" t="n"/>
      <c r="H6" s="165" t="n"/>
      <c r="I6" s="165" t="n"/>
      <c r="J6" s="165" t="n"/>
      <c r="K6" s="165" t="n"/>
      <c r="L6" s="165" t="n"/>
      <c r="M6" s="164" t="n"/>
      <c r="N6" s="121" t="inlineStr">
        <is>
          <t>Σύνολο κωλυομένων</t>
        </is>
      </c>
      <c r="O6" s="122" t="inlineStr">
        <is>
          <t>ΑΠΟΝΤΕΣ</t>
        </is>
      </c>
      <c r="P6" s="165" t="n"/>
      <c r="Q6" s="165" t="n"/>
      <c r="R6" s="165" t="n"/>
      <c r="S6" s="165" t="n"/>
      <c r="T6" s="165" t="n"/>
      <c r="U6" s="165" t="n"/>
      <c r="V6" s="165" t="n"/>
      <c r="W6" s="165" t="n"/>
      <c r="X6" s="165" t="n"/>
      <c r="Y6" s="165" t="n"/>
      <c r="Z6" s="164" t="n"/>
      <c r="AA6" s="123" t="inlineStr">
        <is>
          <t>Διαθέσιμοι για εκπαίδευση</t>
        </is>
      </c>
      <c r="AB6" s="124" t="inlineStr">
        <is>
          <t>Μισθοτροφοδοτηθέντες την προηγούμενη</t>
        </is>
      </c>
      <c r="AC6" s="125" t="inlineStr">
        <is>
          <t xml:space="preserve">  ΜΕΤΑΒΟΛΕΣ ΤΗΣ ΠΡΟΗΓΟΥΜΕΝΗΣ ΗΜΕΡΑΣ</t>
        </is>
      </c>
    </row>
    <row r="7" ht="17.25" customHeight="1">
      <c r="A7" s="166" t="n"/>
      <c r="B7" s="167" t="n"/>
      <c r="C7" s="126" t="inlineStr">
        <is>
          <t>Τοποθετημένοι</t>
        </is>
      </c>
      <c r="D7" s="127" t="inlineStr">
        <is>
          <t>Προσκολημένοι</t>
        </is>
      </c>
      <c r="E7" s="168" t="n"/>
      <c r="F7" s="127" t="inlineStr">
        <is>
          <t>Υπηρεσία εντός στρατοπέδου</t>
        </is>
      </c>
      <c r="G7" s="127" t="inlineStr">
        <is>
          <t>Ελεύθεροι υπηρεσίας</t>
        </is>
      </c>
      <c r="H7" s="127" t="inlineStr">
        <is>
          <t>Τιμωρημένοι</t>
        </is>
      </c>
      <c r="I7" s="127" t="inlineStr">
        <is>
          <t xml:space="preserve">      </t>
        </is>
      </c>
      <c r="J7" s="127" t="inlineStr">
        <is>
          <t>Ο/Σ</t>
        </is>
      </c>
      <c r="K7" s="127" t="inlineStr">
        <is>
          <t>ΜΑΓΕΙΡΙΑ</t>
        </is>
      </c>
      <c r="L7" s="127" t="inlineStr">
        <is>
          <t>ΣΙΔΗΡΟΥΡΓΕΙΟ</t>
        </is>
      </c>
      <c r="M7" s="127" t="inlineStr">
        <is>
          <t>Σε κίνηση</t>
        </is>
      </c>
      <c r="N7" s="168" t="n"/>
      <c r="O7" s="127" t="inlineStr">
        <is>
          <t>Κανονικές Άδειες / ΑΜΔ / ΥΕΘΑ</t>
        </is>
      </c>
      <c r="P7" s="127" t="inlineStr">
        <is>
          <t>Αναρρωτικές Άδειες</t>
        </is>
      </c>
      <c r="Q7" s="127" t="inlineStr">
        <is>
          <t>Ειδικές Άδειες</t>
        </is>
      </c>
      <c r="R7" s="128" t="inlineStr">
        <is>
          <t>Νοσοκομείο / .401 ΓΣΝΑ</t>
        </is>
      </c>
      <c r="S7" s="127" t="inlineStr">
        <is>
          <t>Πρατήριο</t>
        </is>
      </c>
      <c r="T7" s="127" t="inlineStr">
        <is>
          <t xml:space="preserve">Αγνοούμενοι/Αδικαιολογήτως Απών </t>
        </is>
      </c>
      <c r="U7" s="127" t="inlineStr">
        <is>
          <t>Φύλλα Πορείας - Μεταβάσεως</t>
        </is>
      </c>
      <c r="V7" s="127" t="inlineStr">
        <is>
          <t>Φυλάκια</t>
        </is>
      </c>
      <c r="W7" s="127" t="inlineStr">
        <is>
          <t>Απαλλαγή</t>
        </is>
      </c>
      <c r="X7" s="129" t="inlineStr">
        <is>
          <t>ΑΠΕΣΠΑΣΜΕΝΟΙ</t>
        </is>
      </c>
      <c r="Y7" s="169" t="n"/>
      <c r="Z7" s="130" t="inlineStr">
        <is>
          <t>Σύνολο απόντων</t>
        </is>
      </c>
      <c r="AA7" s="168" t="n"/>
      <c r="AB7" s="168" t="n"/>
      <c r="AC7" s="170" t="n"/>
    </row>
    <row r="8" ht="17.25" customHeight="1">
      <c r="A8" s="166" t="n"/>
      <c r="B8" s="167" t="n"/>
      <c r="C8" s="167" t="n"/>
      <c r="D8" s="168" t="n"/>
      <c r="E8" s="168" t="n"/>
      <c r="F8" s="168" t="n"/>
      <c r="G8" s="168" t="n"/>
      <c r="H8" s="168" t="n"/>
      <c r="I8" s="168" t="n"/>
      <c r="J8" s="168" t="n"/>
      <c r="K8" s="168" t="n"/>
      <c r="L8" s="168" t="n"/>
      <c r="M8" s="168" t="n"/>
      <c r="N8" s="168" t="n"/>
      <c r="O8" s="168" t="n"/>
      <c r="P8" s="168" t="n"/>
      <c r="Q8" s="168" t="n"/>
      <c r="R8" s="168" t="n"/>
      <c r="S8" s="168" t="n"/>
      <c r="T8" s="168" t="n"/>
      <c r="U8" s="168" t="n"/>
      <c r="V8" s="168" t="n"/>
      <c r="W8" s="168" t="n"/>
      <c r="X8" s="127" t="inlineStr">
        <is>
          <t>Σε εκπαίδευση</t>
        </is>
      </c>
      <c r="Y8" s="127" t="inlineStr">
        <is>
          <t>Σε άλλη Μονάδα</t>
        </is>
      </c>
      <c r="Z8" s="168" t="n"/>
      <c r="AA8" s="168" t="n"/>
      <c r="AB8" s="168" t="n"/>
      <c r="AC8" s="170" t="n"/>
    </row>
    <row r="9" ht="17.25" customHeight="1">
      <c r="A9" s="166" t="n"/>
      <c r="B9" s="167" t="n"/>
      <c r="C9" s="167" t="n"/>
      <c r="D9" s="168" t="n"/>
      <c r="E9" s="168" t="n"/>
      <c r="F9" s="168" t="n"/>
      <c r="G9" s="168" t="n"/>
      <c r="H9" s="168" t="n"/>
      <c r="I9" s="168" t="n"/>
      <c r="J9" s="168" t="n"/>
      <c r="K9" s="168" t="n"/>
      <c r="L9" s="168" t="n"/>
      <c r="M9" s="168" t="n"/>
      <c r="N9" s="168" t="n"/>
      <c r="O9" s="168" t="n"/>
      <c r="P9" s="168" t="n"/>
      <c r="Q9" s="168" t="n"/>
      <c r="R9" s="168" t="n"/>
      <c r="S9" s="168" t="n"/>
      <c r="T9" s="168" t="n"/>
      <c r="U9" s="168" t="n"/>
      <c r="V9" s="168" t="n"/>
      <c r="W9" s="168" t="n"/>
      <c r="X9" s="168" t="n"/>
      <c r="Y9" s="168" t="n"/>
      <c r="Z9" s="168" t="n"/>
      <c r="AA9" s="168" t="n"/>
      <c r="AB9" s="168" t="n"/>
      <c r="AC9" s="170" t="n"/>
    </row>
    <row r="10" ht="17.25" customHeight="1">
      <c r="A10" s="166" t="n"/>
      <c r="B10" s="167" t="n"/>
      <c r="C10" s="167" t="n"/>
      <c r="D10" s="168" t="n"/>
      <c r="E10" s="168" t="n"/>
      <c r="F10" s="168" t="n"/>
      <c r="G10" s="168" t="n"/>
      <c r="H10" s="168" t="n"/>
      <c r="I10" s="168" t="n"/>
      <c r="J10" s="168" t="n"/>
      <c r="K10" s="168" t="n"/>
      <c r="L10" s="168" t="n"/>
      <c r="M10" s="168" t="n"/>
      <c r="N10" s="168" t="n"/>
      <c r="O10" s="168" t="n"/>
      <c r="P10" s="168" t="n"/>
      <c r="Q10" s="168" t="n"/>
      <c r="R10" s="168" t="n"/>
      <c r="S10" s="168" t="n"/>
      <c r="T10" s="168" t="n"/>
      <c r="U10" s="168" t="n"/>
      <c r="V10" s="168" t="n"/>
      <c r="W10" s="168" t="n"/>
      <c r="X10" s="168" t="n"/>
      <c r="Y10" s="168" t="n"/>
      <c r="Z10" s="168" t="n"/>
      <c r="AA10" s="168" t="n"/>
      <c r="AB10" s="168" t="n"/>
      <c r="AC10" s="170" t="n"/>
    </row>
    <row r="11" ht="17.25" customHeight="1">
      <c r="A11" s="166" t="n"/>
      <c r="B11" s="167" t="n"/>
      <c r="C11" s="167" t="n"/>
      <c r="D11" s="168" t="n"/>
      <c r="E11" s="168" t="n"/>
      <c r="F11" s="168" t="n"/>
      <c r="G11" s="168" t="n"/>
      <c r="H11" s="168" t="n"/>
      <c r="I11" s="168" t="n"/>
      <c r="J11" s="168" t="n"/>
      <c r="K11" s="168" t="n"/>
      <c r="L11" s="168" t="n"/>
      <c r="M11" s="168" t="n"/>
      <c r="N11" s="168" t="n"/>
      <c r="O11" s="168" t="n"/>
      <c r="P11" s="168" t="n"/>
      <c r="Q11" s="168" t="n"/>
      <c r="R11" s="168" t="n"/>
      <c r="S11" s="168" t="n"/>
      <c r="T11" s="168" t="n"/>
      <c r="U11" s="168" t="n"/>
      <c r="V11" s="168" t="n"/>
      <c r="W11" s="168" t="n"/>
      <c r="X11" s="168" t="n"/>
      <c r="Y11" s="168" t="n"/>
      <c r="Z11" s="168" t="n"/>
      <c r="AA11" s="168" t="n"/>
      <c r="AB11" s="168" t="n"/>
      <c r="AC11" s="170" t="n"/>
    </row>
    <row r="12" ht="17.25" customHeight="1">
      <c r="A12" s="166" t="n"/>
      <c r="B12" s="167" t="n"/>
      <c r="C12" s="167" t="n"/>
      <c r="D12" s="168" t="n"/>
      <c r="E12" s="168" t="n"/>
      <c r="F12" s="168" t="n"/>
      <c r="G12" s="168" t="n"/>
      <c r="H12" s="168" t="n"/>
      <c r="I12" s="168" t="n"/>
      <c r="J12" s="168" t="n"/>
      <c r="K12" s="168" t="n"/>
      <c r="L12" s="168" t="n"/>
      <c r="M12" s="168" t="n"/>
      <c r="N12" s="168" t="n"/>
      <c r="O12" s="168" t="n"/>
      <c r="P12" s="168" t="n"/>
      <c r="Q12" s="168" t="n"/>
      <c r="R12" s="168" t="n"/>
      <c r="S12" s="168" t="n"/>
      <c r="T12" s="168" t="n"/>
      <c r="U12" s="168" t="n"/>
      <c r="V12" s="168" t="n"/>
      <c r="W12" s="168" t="n"/>
      <c r="X12" s="168" t="n"/>
      <c r="Y12" s="168" t="n"/>
      <c r="Z12" s="168" t="n"/>
      <c r="AA12" s="168" t="n"/>
      <c r="AB12" s="168" t="n"/>
      <c r="AC12" s="170" t="n"/>
    </row>
    <row r="13" ht="17.25" customHeight="1">
      <c r="A13" s="166" t="n"/>
      <c r="B13" s="167" t="n"/>
      <c r="C13" s="167" t="n"/>
      <c r="D13" s="168" t="n"/>
      <c r="E13" s="168" t="n"/>
      <c r="F13" s="168" t="n"/>
      <c r="G13" s="168" t="n"/>
      <c r="H13" s="168" t="n"/>
      <c r="I13" s="168" t="n"/>
      <c r="J13" s="168" t="n"/>
      <c r="K13" s="168" t="n"/>
      <c r="L13" s="168" t="n"/>
      <c r="M13" s="168" t="n"/>
      <c r="N13" s="168" t="n"/>
      <c r="O13" s="168" t="n"/>
      <c r="P13" s="168" t="n"/>
      <c r="Q13" s="168" t="n"/>
      <c r="R13" s="168" t="n"/>
      <c r="S13" s="168" t="n"/>
      <c r="T13" s="168" t="n"/>
      <c r="U13" s="168" t="n"/>
      <c r="V13" s="168" t="n"/>
      <c r="W13" s="168" t="n"/>
      <c r="X13" s="168" t="n"/>
      <c r="Y13" s="168" t="n"/>
      <c r="Z13" s="168" t="n"/>
      <c r="AA13" s="168" t="n"/>
      <c r="AB13" s="168" t="n"/>
      <c r="AC13" s="170" t="n"/>
    </row>
    <row r="14" ht="17.25" customHeight="1">
      <c r="A14" s="166" t="n"/>
      <c r="B14" s="167" t="n"/>
      <c r="C14" s="167" t="n"/>
      <c r="D14" s="168" t="n"/>
      <c r="E14" s="168" t="n"/>
      <c r="F14" s="168" t="n"/>
      <c r="G14" s="168" t="n"/>
      <c r="H14" s="168" t="n"/>
      <c r="I14" s="168" t="n"/>
      <c r="J14" s="168" t="n"/>
      <c r="K14" s="168" t="n"/>
      <c r="L14" s="168" t="n"/>
      <c r="M14" s="168" t="n"/>
      <c r="N14" s="168" t="n"/>
      <c r="O14" s="168" t="n"/>
      <c r="P14" s="168" t="n"/>
      <c r="Q14" s="168" t="n"/>
      <c r="R14" s="168" t="n"/>
      <c r="S14" s="168" t="n"/>
      <c r="T14" s="168" t="n"/>
      <c r="U14" s="168" t="n"/>
      <c r="V14" s="168" t="n"/>
      <c r="W14" s="168" t="n"/>
      <c r="X14" s="168" t="n"/>
      <c r="Y14" s="168" t="n"/>
      <c r="Z14" s="168" t="n"/>
      <c r="AA14" s="168" t="n"/>
      <c r="AB14" s="168" t="n"/>
      <c r="AC14" s="170" t="n"/>
    </row>
    <row r="15" ht="17.25" customHeight="1">
      <c r="A15" s="166" t="n"/>
      <c r="B15" s="167" t="n"/>
      <c r="C15" s="167" t="n"/>
      <c r="D15" s="168" t="n"/>
      <c r="E15" s="168" t="n"/>
      <c r="F15" s="168" t="n"/>
      <c r="G15" s="168" t="n"/>
      <c r="H15" s="168" t="n"/>
      <c r="I15" s="168" t="n"/>
      <c r="J15" s="168" t="n"/>
      <c r="K15" s="168" t="n"/>
      <c r="L15" s="168" t="n"/>
      <c r="M15" s="168" t="n"/>
      <c r="N15" s="168" t="n"/>
      <c r="O15" s="168" t="n"/>
      <c r="P15" s="168" t="n"/>
      <c r="Q15" s="168" t="n"/>
      <c r="R15" s="171" t="n"/>
      <c r="S15" s="168" t="n"/>
      <c r="T15" s="168" t="n"/>
      <c r="U15" s="168" t="n"/>
      <c r="V15" s="168" t="n"/>
      <c r="W15" s="168" t="n"/>
      <c r="X15" s="168" t="n"/>
      <c r="Y15" s="168" t="n"/>
      <c r="Z15" s="168" t="n"/>
      <c r="AA15" s="168" t="n"/>
      <c r="AB15" s="172" t="n"/>
      <c r="AC15" s="173" t="n"/>
    </row>
    <row r="16" ht="17.25" customHeight="1" thickBot="1">
      <c r="A16" s="166" t="n"/>
      <c r="B16" s="10" t="n"/>
      <c r="C16" s="10" t="n"/>
      <c r="D16" s="11" t="n"/>
      <c r="E16" s="12" t="n"/>
      <c r="F16" s="13" t="n"/>
      <c r="G16" s="14" t="n"/>
      <c r="H16" s="14" t="n"/>
      <c r="I16" s="15" t="n"/>
      <c r="J16" s="16" t="n"/>
      <c r="K16" s="17" t="n"/>
      <c r="L16" s="16" t="n"/>
      <c r="M16" s="18" t="n"/>
      <c r="N16" s="12" t="n"/>
      <c r="O16" s="13" t="n"/>
      <c r="P16" s="14" t="n"/>
      <c r="Q16" s="14" t="n"/>
      <c r="R16" s="15" t="n"/>
      <c r="S16" s="14" t="n"/>
      <c r="T16" s="14" t="n"/>
      <c r="U16" s="15" t="n"/>
      <c r="V16" s="14" t="n"/>
      <c r="W16" s="14" t="n"/>
      <c r="X16" s="15" t="n"/>
      <c r="Y16" s="14" t="n"/>
      <c r="Z16" s="19" t="n"/>
      <c r="AA16" s="12" t="n"/>
      <c r="AB16" s="20" t="n"/>
      <c r="AC16" s="21" t="inlineStr">
        <is>
          <t>ΕΓΓΡΑΦΗΚΑΝ</t>
        </is>
      </c>
    </row>
    <row r="17" ht="17.25" customHeight="1">
      <c r="A17" s="22" t="inlineStr">
        <is>
          <t>Επίλαρχοι</t>
        </is>
      </c>
      <c r="B17" s="23" t="n"/>
      <c r="C17" s="133" t="n"/>
      <c r="D17" s="79" t="n"/>
      <c r="E17" s="28">
        <f>SUM(C17:D17)</f>
        <v/>
      </c>
      <c r="F17" s="27" t="n"/>
      <c r="G17" s="24" t="n"/>
      <c r="H17" s="24" t="n"/>
      <c r="I17" s="24" t="n"/>
      <c r="J17" s="24" t="n"/>
      <c r="K17" s="25" t="n"/>
      <c r="L17" s="25" t="n"/>
      <c r="M17" s="25" t="n"/>
      <c r="N17" s="26">
        <f>SUM(F17:M17)</f>
        <v/>
      </c>
      <c r="O17" s="27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106">
        <f>SUM(O17:Y17)</f>
        <v/>
      </c>
      <c r="AA17" s="28">
        <f>E17-Z17</f>
        <v/>
      </c>
      <c r="AB17" s="29" t="n"/>
      <c r="AC17" s="30" t="inlineStr">
        <is>
          <t>1</t>
        </is>
      </c>
    </row>
    <row r="18" ht="16.5" customHeight="1">
      <c r="A18" s="22" t="inlineStr">
        <is>
          <t>Ίλαρχοι</t>
        </is>
      </c>
      <c r="B18" s="31" t="n"/>
      <c r="C18" s="137" t="n"/>
      <c r="D18" s="148" t="n"/>
      <c r="E18" s="36">
        <f>SUM(C18:D18)</f>
        <v/>
      </c>
      <c r="F18" s="35" t="n"/>
      <c r="G18" s="32" t="n"/>
      <c r="H18" s="32" t="n"/>
      <c r="I18" s="32" t="n"/>
      <c r="J18" s="32" t="n"/>
      <c r="K18" s="33" t="n"/>
      <c r="L18" s="33" t="n"/>
      <c r="M18" s="33" t="n"/>
      <c r="N18" s="34">
        <f>SUM(F18:M18)</f>
        <v/>
      </c>
      <c r="O18" s="35" t="n"/>
      <c r="P18" s="32" t="n"/>
      <c r="Q18" s="32" t="n"/>
      <c r="R18" s="32" t="n"/>
      <c r="S18" s="32" t="n"/>
      <c r="T18" s="32" t="n"/>
      <c r="U18" s="32" t="n"/>
      <c r="V18" s="32" t="n"/>
      <c r="W18" s="32" t="n"/>
      <c r="X18" s="32" t="n"/>
      <c r="Y18" s="32" t="n"/>
      <c r="Z18" s="106">
        <f>SUM(O18:Y18)</f>
        <v/>
      </c>
      <c r="AA18" s="36">
        <f>E18-Z18</f>
        <v/>
      </c>
      <c r="AB18" s="37" t="n"/>
      <c r="AC18" s="38" t="inlineStr">
        <is>
          <t>2</t>
        </is>
      </c>
    </row>
    <row r="19" ht="15" customHeight="1">
      <c r="A19" s="22" t="inlineStr">
        <is>
          <t>Ανθυπίλαρχοι-Ανθλγοι</t>
        </is>
      </c>
      <c r="B19" s="31" t="n"/>
      <c r="C19" s="137" t="n"/>
      <c r="D19" s="148" t="n"/>
      <c r="E19" s="36">
        <f>SUM(C19:D19)</f>
        <v/>
      </c>
      <c r="F19" s="35" t="n"/>
      <c r="G19" s="32" t="n"/>
      <c r="H19" s="32" t="n"/>
      <c r="I19" s="32" t="n"/>
      <c r="J19" s="32" t="n"/>
      <c r="K19" s="33" t="n"/>
      <c r="L19" s="33" t="n"/>
      <c r="M19" s="33" t="n"/>
      <c r="N19" s="34">
        <f>SUM(F19:M19)</f>
        <v/>
      </c>
      <c r="O19" s="35" t="n"/>
      <c r="P19" s="32" t="n"/>
      <c r="Q19" s="32" t="n"/>
      <c r="R19" s="32" t="n"/>
      <c r="S19" s="32" t="n"/>
      <c r="T19" s="32" t="n"/>
      <c r="U19" s="32" t="n"/>
      <c r="V19" s="32" t="n"/>
      <c r="W19" s="32" t="n"/>
      <c r="X19" s="32" t="n"/>
      <c r="Y19" s="32" t="n"/>
      <c r="Z19" s="106">
        <f>SUM(O19:Y19)</f>
        <v/>
      </c>
      <c r="AA19" s="36">
        <f>E19-Z19</f>
        <v/>
      </c>
      <c r="AB19" s="37" t="n"/>
      <c r="AC19" s="38" t="inlineStr">
        <is>
          <t>3</t>
        </is>
      </c>
    </row>
    <row r="20" ht="18.75" customHeight="1">
      <c r="A20" s="22" t="inlineStr">
        <is>
          <t>Ανθυπασπιστές</t>
        </is>
      </c>
      <c r="B20" s="31" t="n"/>
      <c r="C20" s="137" t="n"/>
      <c r="D20" s="148" t="n"/>
      <c r="E20" s="36">
        <f>SUM(C20:D20)</f>
        <v/>
      </c>
      <c r="F20" s="35" t="n"/>
      <c r="G20" s="32" t="n"/>
      <c r="H20" s="32" t="n"/>
      <c r="I20" s="32" t="n"/>
      <c r="J20" s="32" t="n"/>
      <c r="K20" s="33" t="n"/>
      <c r="L20" s="33" t="n"/>
      <c r="M20" s="33" t="n"/>
      <c r="N20" s="34">
        <f>SUM(F20:M20)</f>
        <v/>
      </c>
      <c r="O20" s="35" t="n"/>
      <c r="P20" s="32" t="n"/>
      <c r="Q20" s="32" t="n"/>
      <c r="R20" s="32" t="n"/>
      <c r="S20" s="32" t="n"/>
      <c r="T20" s="32" t="n"/>
      <c r="U20" s="32" t="n"/>
      <c r="V20" s="32" t="n"/>
      <c r="W20" s="32" t="n"/>
      <c r="X20" s="32" t="n"/>
      <c r="Y20" s="32" t="n"/>
      <c r="Z20" s="106">
        <f>SUM(O20:Y20)</f>
        <v/>
      </c>
      <c r="AA20" s="36">
        <f>E20-Z20</f>
        <v/>
      </c>
      <c r="AB20" s="39" t="n"/>
      <c r="AC20" s="38" t="inlineStr">
        <is>
          <t>4</t>
        </is>
      </c>
    </row>
    <row r="21" ht="17.25" customHeight="1" thickBot="1">
      <c r="A21" s="22" t="inlineStr">
        <is>
          <t>ΔΕΑ</t>
        </is>
      </c>
      <c r="B21" s="40" t="n"/>
      <c r="C21" s="81" t="n"/>
      <c r="D21" s="82" t="n"/>
      <c r="E21" s="45">
        <f>SUM(C21:D21)</f>
        <v/>
      </c>
      <c r="F21" s="44" t="n"/>
      <c r="G21" s="41" t="n"/>
      <c r="H21" s="41" t="n"/>
      <c r="I21" s="41" t="n"/>
      <c r="J21" s="41" t="n"/>
      <c r="K21" s="42" t="n"/>
      <c r="L21" s="42" t="n"/>
      <c r="M21" s="42" t="n"/>
      <c r="N21" s="43">
        <f>SUM(F21:M21)</f>
        <v/>
      </c>
      <c r="O21" s="44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106">
        <f>SUM(O21:Y21)</f>
        <v/>
      </c>
      <c r="AA21" s="45">
        <f>E21-Z21</f>
        <v/>
      </c>
      <c r="AB21" s="37" t="n"/>
      <c r="AC21" s="46" t="inlineStr">
        <is>
          <t>5</t>
        </is>
      </c>
    </row>
    <row r="22" ht="17.25" customHeight="1" thickBot="1">
      <c r="A22" s="47" t="inlineStr">
        <is>
          <t>ΣΥΝΟΛΟ ΑΞΚΩΝ</t>
        </is>
      </c>
      <c r="B22" s="50" t="n"/>
      <c r="C22" s="50">
        <f>SUM(C17:C21)</f>
        <v/>
      </c>
      <c r="D22" s="50">
        <f>SUM(D17:D21)</f>
        <v/>
      </c>
      <c r="E22" s="50">
        <f>SUM(E17:E21)</f>
        <v/>
      </c>
      <c r="F22" s="51">
        <f>SUM(F17:F21)</f>
        <v/>
      </c>
      <c r="G22" s="48">
        <f>SUM(G17:G21)</f>
        <v/>
      </c>
      <c r="H22" s="48">
        <f>SUM(H17:H21)</f>
        <v/>
      </c>
      <c r="I22" s="48">
        <f>SUM(I17:I21)</f>
        <v/>
      </c>
      <c r="J22" s="48">
        <f>SUM(J17:J21)</f>
        <v/>
      </c>
      <c r="K22" s="49">
        <f>SUM(K17:K21)</f>
        <v/>
      </c>
      <c r="L22" s="49">
        <f>SUM(L17:L21)</f>
        <v/>
      </c>
      <c r="M22" s="49">
        <f>SUM(M17:M21)</f>
        <v/>
      </c>
      <c r="N22" s="50">
        <f>SUM(N17:N21)</f>
        <v/>
      </c>
      <c r="O22" s="48">
        <f>SUM(O17:O21)</f>
        <v/>
      </c>
      <c r="P22" s="48">
        <f>SUM(P17:P21)</f>
        <v/>
      </c>
      <c r="Q22" s="48">
        <f>SUM(Q17:Q21)</f>
        <v/>
      </c>
      <c r="R22" s="48">
        <f>SUM(R17:R21)</f>
        <v/>
      </c>
      <c r="S22" s="48">
        <f>SUM(S17:S21)</f>
        <v/>
      </c>
      <c r="T22" s="48">
        <f>SUM(T17:T21)</f>
        <v/>
      </c>
      <c r="U22" s="48">
        <f>SUM(U17:U21)</f>
        <v/>
      </c>
      <c r="V22" s="48">
        <f>SUM(V17:V21)</f>
        <v/>
      </c>
      <c r="W22" s="48">
        <f>SUM(W17:W21)</f>
        <v/>
      </c>
      <c r="X22" s="48">
        <f>SUM(X17:X21)</f>
        <v/>
      </c>
      <c r="Y22" s="48">
        <f>SUM(Y17:Y21)</f>
        <v/>
      </c>
      <c r="Z22" s="106">
        <f>SUM(O22:Y22)</f>
        <v/>
      </c>
      <c r="AA22" s="105">
        <f>SUM(AA17:AA21)</f>
        <v/>
      </c>
      <c r="AB22" s="37" t="n"/>
      <c r="AC22" s="52" t="inlineStr">
        <is>
          <t>ΔΙΑΓΡΑΦΗΚΑΝ</t>
        </is>
      </c>
    </row>
    <row r="23" ht="17.25" customHeight="1" thickBot="1">
      <c r="A23" s="22" t="inlineStr">
        <is>
          <t>Αρχιλοχίες</t>
        </is>
      </c>
      <c r="B23" s="83" t="n"/>
      <c r="C23" s="133" t="n"/>
      <c r="D23" s="79" t="n"/>
      <c r="E23" s="28">
        <f>SUM(C23:D23)</f>
        <v/>
      </c>
      <c r="F23" s="27" t="n"/>
      <c r="G23" s="24" t="n"/>
      <c r="H23" s="24" t="n"/>
      <c r="I23" s="24" t="n"/>
      <c r="J23" s="24" t="n"/>
      <c r="K23" s="25" t="n"/>
      <c r="L23" s="25" t="n"/>
      <c r="M23" s="25" t="n"/>
      <c r="N23" s="26">
        <f>SUM(F23:M23)</f>
        <v/>
      </c>
      <c r="O23" s="27" t="n"/>
      <c r="P23" s="24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106">
        <f>SUM(O23:Y23)</f>
        <v/>
      </c>
      <c r="AA23" s="103">
        <f>E23-Z23</f>
        <v/>
      </c>
      <c r="AB23" s="29" t="n"/>
      <c r="AC23" s="38" t="inlineStr">
        <is>
          <t>1</t>
        </is>
      </c>
    </row>
    <row r="24" ht="16.5" customHeight="1" thickBot="1">
      <c r="A24" s="22" t="inlineStr">
        <is>
          <t>Επιλοχίες</t>
        </is>
      </c>
      <c r="B24" s="84" t="n"/>
      <c r="C24" s="137" t="n"/>
      <c r="D24" s="148" t="n"/>
      <c r="E24" s="28">
        <f>SUM(C24:D24)</f>
        <v/>
      </c>
      <c r="F24" s="35" t="n"/>
      <c r="G24" s="32" t="n"/>
      <c r="H24" s="32" t="n"/>
      <c r="I24" s="32" t="n"/>
      <c r="J24" s="32" t="n"/>
      <c r="K24" s="33" t="n"/>
      <c r="L24" s="33" t="n"/>
      <c r="M24" s="33" t="n"/>
      <c r="N24" s="26">
        <f>SUM(F24:M24)</f>
        <v/>
      </c>
      <c r="O24" s="35" t="n"/>
      <c r="P24" s="32" t="n"/>
      <c r="Q24" s="32" t="n"/>
      <c r="R24" s="32" t="n"/>
      <c r="S24" s="32" t="n"/>
      <c r="T24" s="32" t="n"/>
      <c r="U24" s="32" t="n"/>
      <c r="V24" s="32" t="n"/>
      <c r="W24" s="32" t="n"/>
      <c r="X24" s="32" t="n"/>
      <c r="Y24" s="32" t="n"/>
      <c r="Z24" s="106">
        <f>SUM(O24:Y24)</f>
        <v/>
      </c>
      <c r="AA24" s="104">
        <f>E24-Z24</f>
        <v/>
      </c>
      <c r="AB24" s="37" t="n"/>
      <c r="AC24" s="53" t="inlineStr">
        <is>
          <t>2</t>
        </is>
      </c>
    </row>
    <row r="25" ht="15.75" customHeight="1" thickBot="1">
      <c r="A25" s="22" t="inlineStr">
        <is>
          <t>Λοχίες</t>
        </is>
      </c>
      <c r="B25" s="84" t="n"/>
      <c r="C25" s="137" t="n"/>
      <c r="D25" s="148" t="n"/>
      <c r="E25" s="28">
        <f>SUM(C25:D25)</f>
        <v/>
      </c>
      <c r="F25" s="35" t="n"/>
      <c r="G25" s="32" t="n"/>
      <c r="H25" s="32" t="n"/>
      <c r="I25" s="32" t="n"/>
      <c r="J25" s="32" t="n"/>
      <c r="K25" s="33" t="n"/>
      <c r="L25" s="33" t="n"/>
      <c r="M25" s="33" t="n"/>
      <c r="N25" s="26">
        <f>SUM(F25:M25)</f>
        <v/>
      </c>
      <c r="O25" s="35" t="n"/>
      <c r="P25" s="32" t="n"/>
      <c r="Q25" s="32" t="n"/>
      <c r="R25" s="32" t="n"/>
      <c r="S25" s="32" t="n"/>
      <c r="T25" s="32" t="n"/>
      <c r="U25" s="32" t="n"/>
      <c r="V25" s="32" t="n"/>
      <c r="W25" s="32" t="n"/>
      <c r="X25" s="32" t="n"/>
      <c r="Y25" s="32" t="n"/>
      <c r="Z25" s="106">
        <f>SUM(O25:Y25)</f>
        <v/>
      </c>
      <c r="AA25" s="104">
        <f>E25-Z25</f>
        <v/>
      </c>
      <c r="AB25" s="37" t="n"/>
      <c r="AC25" s="38" t="inlineStr">
        <is>
          <t>3</t>
        </is>
      </c>
    </row>
    <row r="26" ht="15.75" customHeight="1" thickBot="1">
      <c r="A26" s="22" t="inlineStr">
        <is>
          <t>Δεκανείς</t>
        </is>
      </c>
      <c r="B26" s="84" t="n"/>
      <c r="C26" s="137" t="n"/>
      <c r="D26" s="148" t="n"/>
      <c r="E26" s="28">
        <f>SUM(C26:D26)</f>
        <v/>
      </c>
      <c r="F26" s="35" t="n"/>
      <c r="G26" s="32" t="n"/>
      <c r="H26" s="32" t="n"/>
      <c r="I26" s="32" t="n"/>
      <c r="J26" s="32" t="n"/>
      <c r="K26" s="33" t="n"/>
      <c r="L26" s="33" t="n"/>
      <c r="M26" s="33" t="n"/>
      <c r="N26" s="26">
        <f>SUM(F26:M26)</f>
        <v/>
      </c>
      <c r="O26" s="35" t="n"/>
      <c r="P26" s="32" t="n"/>
      <c r="Q26" s="32" t="n"/>
      <c r="R26" s="32" t="n"/>
      <c r="S26" s="32" t="n"/>
      <c r="T26" s="32" t="n"/>
      <c r="U26" s="32" t="n"/>
      <c r="V26" s="32" t="n"/>
      <c r="W26" s="32" t="n"/>
      <c r="X26" s="32" t="n"/>
      <c r="Y26" s="32" t="n"/>
      <c r="Z26" s="106">
        <f>SUM(O26:Y26)</f>
        <v/>
      </c>
      <c r="AA26" s="104">
        <f>E26-Z26</f>
        <v/>
      </c>
      <c r="AB26" s="37" t="n"/>
      <c r="AC26" s="38" t="inlineStr">
        <is>
          <t>4</t>
        </is>
      </c>
    </row>
    <row r="27" ht="17.25" customHeight="1" thickBot="1">
      <c r="A27" s="22" t="inlineStr">
        <is>
          <t>ΕΠΟΠ Στρατιώτης</t>
        </is>
      </c>
      <c r="B27" s="84" t="n"/>
      <c r="C27" s="137" t="n"/>
      <c r="D27" s="148" t="n"/>
      <c r="E27" s="28">
        <f>SUM(C27:D27)</f>
        <v/>
      </c>
      <c r="F27" s="35" t="n"/>
      <c r="G27" s="32" t="n"/>
      <c r="H27" s="32" t="n"/>
      <c r="I27" s="32" t="n"/>
      <c r="J27" s="32" t="n"/>
      <c r="K27" s="33" t="n"/>
      <c r="L27" s="33" t="n"/>
      <c r="M27" s="33" t="n"/>
      <c r="N27" s="26">
        <f>SUM(F27:M27)</f>
        <v/>
      </c>
      <c r="O27" s="37" t="n"/>
      <c r="P27" s="32" t="n"/>
      <c r="Q27" s="32" t="n"/>
      <c r="R27" s="32" t="n"/>
      <c r="S27" s="32" t="n"/>
      <c r="T27" s="32" t="n"/>
      <c r="U27" s="32" t="n"/>
      <c r="V27" s="32" t="n"/>
      <c r="W27" s="32" t="n"/>
      <c r="X27" s="32" t="n"/>
      <c r="Y27" s="32" t="n"/>
      <c r="Z27" s="106">
        <f>SUM(O27:Y27)</f>
        <v/>
      </c>
      <c r="AA27" s="104">
        <f>E27-Z27</f>
        <v/>
      </c>
      <c r="AB27" s="37" t="n"/>
      <c r="AC27" s="52" t="inlineStr">
        <is>
          <t>ΠΡΟΣΚΟΛΗΘΗΚΑΝ</t>
        </is>
      </c>
      <c r="AE27" s="2" t="inlineStr">
        <is>
          <t>,</t>
        </is>
      </c>
      <c r="AF27" s="2" t="inlineStr">
        <is>
          <t xml:space="preserve"> </t>
        </is>
      </c>
    </row>
    <row r="28" ht="15.75" customHeight="1" thickBot="1">
      <c r="A28" s="22" t="inlineStr">
        <is>
          <t>OBΑ Στρατιώτης</t>
        </is>
      </c>
      <c r="B28" s="84" t="n"/>
      <c r="C28" s="137" t="n"/>
      <c r="D28" s="148" t="n"/>
      <c r="E28" s="28">
        <f>SUM(C28:D28)</f>
        <v/>
      </c>
      <c r="F28" s="35" t="n"/>
      <c r="G28" s="32" t="n"/>
      <c r="H28" s="32" t="n"/>
      <c r="I28" s="32" t="n"/>
      <c r="J28" s="32" t="n"/>
      <c r="K28" s="33" t="n"/>
      <c r="L28" s="33" t="n"/>
      <c r="M28" s="33" t="n"/>
      <c r="N28" s="26">
        <f>SUM(F28:M28)</f>
        <v/>
      </c>
      <c r="O28" s="35" t="n"/>
      <c r="P28" s="32" t="n"/>
      <c r="Q28" s="32" t="n"/>
      <c r="R28" s="32" t="n"/>
      <c r="S28" s="32" t="n"/>
      <c r="T28" s="32" t="n"/>
      <c r="U28" s="32" t="n"/>
      <c r="V28" s="32" t="n"/>
      <c r="W28" s="32" t="n"/>
      <c r="X28" s="32" t="n"/>
      <c r="Y28" s="32" t="n"/>
      <c r="Z28" s="106">
        <f>SUM(O28:Y28)</f>
        <v/>
      </c>
      <c r="AA28" s="104">
        <f>E28-Z28</f>
        <v/>
      </c>
      <c r="AB28" s="37" t="n"/>
      <c r="AC28" s="38" t="inlineStr">
        <is>
          <t>1</t>
        </is>
      </c>
    </row>
    <row r="29" ht="15.75" customHeight="1" thickBot="1">
      <c r="A29" s="22" t="inlineStr">
        <is>
          <t>Στρατιώτες</t>
        </is>
      </c>
      <c r="B29" s="85" t="n"/>
      <c r="C29" s="81" t="n"/>
      <c r="D29" s="82" t="n"/>
      <c r="E29" s="28">
        <f>SUM(C29:D29)</f>
        <v/>
      </c>
      <c r="F29" s="44" t="n"/>
      <c r="G29" s="41" t="n"/>
      <c r="H29" s="41" t="n"/>
      <c r="I29" s="41" t="n"/>
      <c r="J29" s="41" t="n"/>
      <c r="K29" s="42" t="n"/>
      <c r="L29" s="42" t="n"/>
      <c r="M29" s="42" t="n"/>
      <c r="N29" s="26">
        <f>SUM(F29:M29)</f>
        <v/>
      </c>
      <c r="O29" s="44" t="n"/>
      <c r="P29" s="41" t="n"/>
      <c r="Q29" s="41" t="n"/>
      <c r="R29" s="41" t="n"/>
      <c r="S29" s="41" t="n"/>
      <c r="T29" s="41" t="n"/>
      <c r="U29" s="41" t="n"/>
      <c r="V29" s="41" t="n"/>
      <c r="W29" s="41" t="n"/>
      <c r="X29" s="41" t="n"/>
      <c r="Y29" s="41" t="n"/>
      <c r="Z29" s="106">
        <f>SUM(O29:Y29)</f>
        <v/>
      </c>
      <c r="AA29" s="106">
        <f>E29-Z29</f>
        <v/>
      </c>
      <c r="AB29" s="37" t="n"/>
      <c r="AC29" s="38" t="inlineStr">
        <is>
          <t>2</t>
        </is>
      </c>
    </row>
    <row r="30" ht="17.25" customHeight="1" thickBot="1">
      <c r="A30" s="54" t="inlineStr">
        <is>
          <t>ΣΥΝΟΛΟ ΟΠΛΙΤΩΝ</t>
        </is>
      </c>
      <c r="B30" s="86" t="n"/>
      <c r="C30" s="87">
        <f>SUM(C23:C29)</f>
        <v/>
      </c>
      <c r="D30" s="88">
        <f>SUM(D23:D29)</f>
        <v/>
      </c>
      <c r="E30" s="56">
        <f>SUM(E23:E29)</f>
        <v/>
      </c>
      <c r="F30" s="57">
        <f>SUM(F23:F29)</f>
        <v/>
      </c>
      <c r="G30" s="57">
        <f>SUM(G23:G29)</f>
        <v/>
      </c>
      <c r="H30" s="57">
        <f>SUM(H23:H29)</f>
        <v/>
      </c>
      <c r="I30" s="57">
        <f>SUM(I23:I29)</f>
        <v/>
      </c>
      <c r="J30" s="57">
        <f>SUM(J23:J29)</f>
        <v/>
      </c>
      <c r="K30" s="57">
        <f>SUM(K23:K29)</f>
        <v/>
      </c>
      <c r="L30" s="57">
        <f>SUM(L23:L29)</f>
        <v/>
      </c>
      <c r="M30" s="57">
        <f>SUM(M23:M29)</f>
        <v/>
      </c>
      <c r="N30" s="56">
        <f>SUM(N23:N29)</f>
        <v/>
      </c>
      <c r="O30" s="55">
        <f>SUM(O23:O29)</f>
        <v/>
      </c>
      <c r="P30" s="55">
        <f>SUM(P23:P29)</f>
        <v/>
      </c>
      <c r="Q30" s="55">
        <f>SUM(Q23:Q29)</f>
        <v/>
      </c>
      <c r="R30" s="55">
        <f>SUM(R23:R29)</f>
        <v/>
      </c>
      <c r="S30" s="55">
        <f>SUM(S23:S29)</f>
        <v/>
      </c>
      <c r="T30" s="55">
        <f>SUM(T23:T29)</f>
        <v/>
      </c>
      <c r="U30" s="55">
        <f>SUM(U23:U29)</f>
        <v/>
      </c>
      <c r="V30" s="55">
        <f>SUM(V23:V29)</f>
        <v/>
      </c>
      <c r="W30" s="55">
        <f>SUM(W23:W29)</f>
        <v/>
      </c>
      <c r="X30" s="55">
        <f>SUM(X23:X29)</f>
        <v/>
      </c>
      <c r="Y30" s="55">
        <f>SUM(Y23:Y29)</f>
        <v/>
      </c>
      <c r="Z30" s="116">
        <f>SUM(Z23:Z29)</f>
        <v/>
      </c>
      <c r="AA30" s="114">
        <f>SUM(AA23:AA29)</f>
        <v/>
      </c>
      <c r="AB30" s="37" t="n"/>
      <c r="AC30" s="38" t="inlineStr">
        <is>
          <t>3</t>
        </is>
      </c>
    </row>
    <row r="31" ht="22.5" customHeight="1" thickBot="1">
      <c r="A31" s="58" t="inlineStr">
        <is>
          <t>ΓΕΝΙΚΟ ΣΥΝΟΛΟ</t>
        </is>
      </c>
      <c r="B31" s="89" t="n"/>
      <c r="C31" s="90">
        <f>SUM(C22,C30)</f>
        <v/>
      </c>
      <c r="D31" s="91">
        <f>SUM(D22,D30)</f>
        <v/>
      </c>
      <c r="E31" s="61">
        <f>SUM(E22,E30)</f>
        <v/>
      </c>
      <c r="F31" s="62">
        <f>SUM(F22,F30)</f>
        <v/>
      </c>
      <c r="G31" s="59">
        <f>SUM(G22,G30)</f>
        <v/>
      </c>
      <c r="H31" s="59">
        <f>SUM(H22,H30)</f>
        <v/>
      </c>
      <c r="I31" s="59">
        <f>SUM(I22,I30)</f>
        <v/>
      </c>
      <c r="J31" s="59">
        <f>SUM(J22,J30)</f>
        <v/>
      </c>
      <c r="K31" s="60">
        <f>SUM(K22,K30)</f>
        <v/>
      </c>
      <c r="L31" s="60">
        <f>SUM(L22,L30)</f>
        <v/>
      </c>
      <c r="M31" s="60">
        <f>SUM(M22,M30)</f>
        <v/>
      </c>
      <c r="N31" s="61">
        <f>SUM(N22,N30)</f>
        <v/>
      </c>
      <c r="O31" s="62">
        <f>SUM(O30,O22)</f>
        <v/>
      </c>
      <c r="P31" s="62">
        <f>SUM(P30,P22)</f>
        <v/>
      </c>
      <c r="Q31" s="62">
        <f>SUM(Q30,Q22)</f>
        <v/>
      </c>
      <c r="R31" s="62">
        <f>SUM(R30,R22)</f>
        <v/>
      </c>
      <c r="S31" s="62">
        <f>SUM(S30,S22)</f>
        <v/>
      </c>
      <c r="T31" s="62">
        <f>SUM(T30,T22)</f>
        <v/>
      </c>
      <c r="U31" s="62">
        <f>SUM(U30,U22)</f>
        <v/>
      </c>
      <c r="V31" s="62">
        <f>SUM(V30,V22)</f>
        <v/>
      </c>
      <c r="W31" s="62">
        <f>SUM(W30,W22)</f>
        <v/>
      </c>
      <c r="X31" s="62">
        <f>SUM(X30,X22)</f>
        <v/>
      </c>
      <c r="Y31" s="62">
        <f>SUM(Y30,Y22)</f>
        <v/>
      </c>
      <c r="Z31" s="115">
        <f>SUM(Z22,Z30)</f>
        <v/>
      </c>
      <c r="AA31" s="61">
        <f>SUM(AA30,AA22)</f>
        <v/>
      </c>
      <c r="AB31" s="63" t="n"/>
      <c r="AC31" s="64" t="inlineStr">
        <is>
          <t>4</t>
        </is>
      </c>
    </row>
    <row r="33" ht="15" customHeight="1">
      <c r="G33" s="151" t="n"/>
      <c r="H33" s="151" t="n"/>
      <c r="T33" s="151" t="n"/>
      <c r="U33" s="151" t="n"/>
      <c r="V33" s="131" t="n"/>
      <c r="Y33" s="151" t="n"/>
      <c r="Z33" s="151" t="n"/>
      <c r="AA33" s="151" t="n"/>
      <c r="AB33" s="151" t="n"/>
    </row>
    <row r="34" ht="15" customHeight="1">
      <c r="E34" s="2" t="inlineStr">
        <is>
          <t xml:space="preserve"> </t>
        </is>
      </c>
      <c r="G34" s="131" t="n"/>
      <c r="V34" s="131" t="inlineStr">
        <is>
          <t xml:space="preserve">Αυλώνας, </t>
        </is>
      </c>
      <c r="AC34" s="2" t="n"/>
    </row>
    <row r="35" ht="15" customHeight="1">
      <c r="G35" s="151" t="n"/>
      <c r="H35" s="151" t="n"/>
      <c r="Q35" s="2" t="inlineStr">
        <is>
          <t xml:space="preserve">                        </t>
        </is>
      </c>
      <c r="T35" s="151" t="n"/>
      <c r="U35" s="151" t="n"/>
      <c r="V35" s="131" t="n"/>
      <c r="Y35" s="151" t="n"/>
      <c r="Z35" s="151" t="n"/>
    </row>
    <row r="36" ht="15" customHeight="1">
      <c r="G36" s="151" t="n"/>
      <c r="H36" s="131" t="inlineStr">
        <is>
          <t>-Ο-</t>
        </is>
      </c>
      <c r="I36" s="151" t="n"/>
      <c r="P36" s="2" t="inlineStr">
        <is>
          <t xml:space="preserve">                                                    </t>
        </is>
      </c>
      <c r="S36" s="151" t="n"/>
      <c r="T36" s="151" t="n"/>
      <c r="U36" s="151" t="n"/>
      <c r="V36" s="151" t="n"/>
      <c r="W36" s="131" t="inlineStr">
        <is>
          <t>-Ο-</t>
        </is>
      </c>
      <c r="X36" s="151" t="n"/>
      <c r="Y36" s="151" t="n"/>
      <c r="Z36" s="151" t="n"/>
    </row>
    <row r="37" ht="15" customHeight="1">
      <c r="G37" s="131" t="inlineStr">
        <is>
          <t>ΑΛΧΙΑΣ ΙΛΗΣ</t>
        </is>
      </c>
      <c r="P37" s="2" t="inlineStr">
        <is>
          <t xml:space="preserve">                                             </t>
        </is>
      </c>
      <c r="V37" s="131" t="inlineStr">
        <is>
          <t>ΔΙΟΙΚΗΤΗΣ ΙΛΗΣ</t>
        </is>
      </c>
    </row>
    <row r="38" ht="15" customHeight="1">
      <c r="G38" s="131" t="n"/>
      <c r="K38" s="2" t="inlineStr">
        <is>
          <t xml:space="preserve">                 </t>
        </is>
      </c>
      <c r="R38" s="2" t="inlineStr">
        <is>
          <t xml:space="preserve">                 </t>
        </is>
      </c>
      <c r="V38" s="131" t="n"/>
      <c r="Z38" s="2" t="inlineStr">
        <is>
          <t xml:space="preserve">                </t>
        </is>
      </c>
    </row>
    <row r="39" ht="15" customHeight="1">
      <c r="G39" s="131" t="n"/>
      <c r="H39" s="131" t="n"/>
      <c r="I39" s="131" t="n"/>
      <c r="S39" s="131" t="n"/>
      <c r="T39" s="131" t="n"/>
      <c r="U39" s="131" t="n"/>
      <c r="V39" s="131" t="n"/>
      <c r="W39" s="131" t="n"/>
      <c r="X39" s="131" t="n"/>
      <c r="Y39" s="131" t="n"/>
      <c r="Z39" s="131" t="n"/>
    </row>
    <row r="40" ht="12" customHeight="1">
      <c r="G40" s="112" t="n"/>
      <c r="H40" s="112" t="n"/>
      <c r="I40" s="112" t="n"/>
      <c r="S40" s="131" t="n"/>
      <c r="T40" s="131" t="n"/>
      <c r="U40" s="131" t="n"/>
      <c r="V40" s="131" t="n"/>
      <c r="W40" s="131" t="n"/>
      <c r="X40" s="131" t="n"/>
      <c r="Y40" s="131" t="n"/>
      <c r="Z40" s="131" t="n"/>
    </row>
    <row r="42" ht="12" customHeight="1">
      <c r="F42" s="131" t="n"/>
      <c r="U42" s="131" t="n"/>
    </row>
    <row r="43" ht="16.5" customHeight="1">
      <c r="F43" s="131" t="n"/>
      <c r="W43" s="112" t="n"/>
      <c r="X43" s="112" t="n"/>
      <c r="Y43" s="112" t="n"/>
    </row>
  </sheetData>
  <mergeCells count="46">
    <mergeCell ref="V34:X34"/>
    <mergeCell ref="G38:I38"/>
    <mergeCell ref="C6:D6"/>
    <mergeCell ref="AB6:AB15"/>
    <mergeCell ref="Y8:Y15"/>
    <mergeCell ref="G37:I37"/>
    <mergeCell ref="AC6:AC15"/>
    <mergeCell ref="M7:M15"/>
    <mergeCell ref="S7:S15"/>
    <mergeCell ref="A6:A16"/>
    <mergeCell ref="U7:U15"/>
    <mergeCell ref="G34:I34"/>
    <mergeCell ref="F6:M6"/>
    <mergeCell ref="W7:W15"/>
    <mergeCell ref="D7:D15"/>
    <mergeCell ref="H7:H15"/>
    <mergeCell ref="P7:P15"/>
    <mergeCell ref="X7:Y7"/>
    <mergeCell ref="X8:X15"/>
    <mergeCell ref="J7:J15"/>
    <mergeCell ref="F42:J42"/>
    <mergeCell ref="T7:T15"/>
    <mergeCell ref="C7:C15"/>
    <mergeCell ref="V7:V15"/>
    <mergeCell ref="K7:K15"/>
    <mergeCell ref="V37:X37"/>
    <mergeCell ref="AA6:AA15"/>
    <mergeCell ref="O7:O15"/>
    <mergeCell ref="A3:AC3"/>
    <mergeCell ref="Q7:Q15"/>
    <mergeCell ref="E6:E15"/>
    <mergeCell ref="U42:Y42"/>
    <mergeCell ref="L7:L15"/>
    <mergeCell ref="Z7:Z15"/>
    <mergeCell ref="V33:X33"/>
    <mergeCell ref="F43:J43"/>
    <mergeCell ref="V38:X38"/>
    <mergeCell ref="O6:Z6"/>
    <mergeCell ref="F7:F15"/>
    <mergeCell ref="V35:X35"/>
    <mergeCell ref="B6:B15"/>
    <mergeCell ref="R7:R15"/>
    <mergeCell ref="A4:AC4"/>
    <mergeCell ref="G7:G15"/>
    <mergeCell ref="I7:I15"/>
    <mergeCell ref="N6:N15"/>
  </mergeCells>
  <pageMargins left="0.25" right="0.25" top="0.75" bottom="0.75" header="0.3" footer="0.3"/>
  <pageSetup orientation="landscape" paperSize="9" scale="67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104"/>
  <sheetViews>
    <sheetView tabSelected="1" view="pageBreakPreview" topLeftCell="D1" zoomScale="71" zoomScaleNormal="100" zoomScaleSheetLayoutView="71" zoomScalePageLayoutView="90" workbookViewId="0">
      <selection activeCell="G16" sqref="G16:K16"/>
    </sheetView>
  </sheetViews>
  <sheetFormatPr baseColWidth="8" defaultColWidth="9.140625" defaultRowHeight="15" customHeight="1"/>
  <cols>
    <col width="18.5703125" customWidth="1" style="66" min="1" max="1"/>
    <col width="8.7109375" customWidth="1" style="66" min="2" max="2"/>
    <col width="9.140625" customWidth="1" style="66" min="3" max="3"/>
    <col width="9.7109375" customWidth="1" style="66" min="4" max="4"/>
    <col width="9.28515625" customWidth="1" style="66" min="5" max="5"/>
    <col width="17.7109375" bestFit="1" customWidth="1" style="66" min="6" max="6"/>
    <col width="20.85546875" customWidth="1" style="66" min="7" max="7"/>
    <col width="12.7109375" customWidth="1" style="66" min="8" max="10"/>
    <col width="112.5703125" customWidth="1" style="66" min="11" max="11"/>
    <col width="32.140625" bestFit="1" customWidth="1" style="66" min="12" max="12"/>
    <col width="16.42578125" customWidth="1" style="66" min="13" max="13"/>
    <col width="5" customWidth="1" style="66" min="14" max="14"/>
    <col width="9.140625" customWidth="1" style="66" min="15" max="16384"/>
  </cols>
  <sheetData>
    <row r="1" ht="13.5" customHeight="1">
      <c r="A1" s="132" t="inlineStr">
        <is>
          <t>ΧΟΡΗΓΟΥΜΕΝΕΣ ΦΡΟΥΡΕΣ</t>
        </is>
      </c>
      <c r="B1" s="174" t="n"/>
      <c r="C1" s="174" t="n"/>
      <c r="D1" s="174" t="n"/>
      <c r="E1" s="175" t="n"/>
      <c r="F1" s="133" t="inlineStr">
        <is>
          <t>ΚΑΤΑΣΤΑΣΗ ΟΧΗΜΑΤΩΝ</t>
        </is>
      </c>
      <c r="G1" s="174" t="n"/>
      <c r="H1" s="174" t="n"/>
      <c r="I1" s="174" t="n"/>
      <c r="J1" s="175" t="n"/>
      <c r="K1" s="134" t="inlineStr">
        <is>
          <t>ΑΤΥΧΗΜΑΤΑ</t>
        </is>
      </c>
      <c r="L1" s="174" t="n"/>
      <c r="M1" s="174" t="n"/>
      <c r="N1" s="176" t="n"/>
    </row>
    <row r="2" ht="27" customHeight="1">
      <c r="A2" s="135" t="inlineStr">
        <is>
          <t>Είδος φρουράς</t>
        </is>
      </c>
      <c r="B2" s="136" t="inlineStr">
        <is>
          <t>Αξκοί</t>
        </is>
      </c>
      <c r="C2" s="136" t="inlineStr">
        <is>
          <t>Υπξκοι</t>
        </is>
      </c>
      <c r="D2" s="136" t="inlineStr">
        <is>
          <t xml:space="preserve">Στρατιώτες </t>
        </is>
      </c>
      <c r="E2" s="136" t="inlineStr">
        <is>
          <t>Σύνολο</t>
        </is>
      </c>
      <c r="F2" s="137" t="inlineStr">
        <is>
          <t>Είδη οχημάτων</t>
        </is>
      </c>
      <c r="G2" s="136" t="inlineStr">
        <is>
          <t>Προβλέπονται</t>
        </is>
      </c>
      <c r="H2" s="138" t="inlineStr">
        <is>
          <t>Σε κίνηση</t>
        </is>
      </c>
      <c r="I2" s="137" t="inlineStr">
        <is>
          <t>Προς επισκεύη</t>
        </is>
      </c>
      <c r="J2" s="169" t="n"/>
      <c r="K2" s="137" t="inlineStr">
        <is>
          <t>Σε οχήματα</t>
        </is>
      </c>
      <c r="L2" s="169" t="n"/>
      <c r="M2" s="139" t="inlineStr">
        <is>
          <t>Σε άνδρες</t>
        </is>
      </c>
      <c r="N2" s="177" t="n"/>
    </row>
    <row r="3" ht="27" customHeight="1">
      <c r="A3" s="178" t="n"/>
      <c r="B3" s="168" t="n"/>
      <c r="C3" s="168" t="n"/>
      <c r="D3" s="168" t="n"/>
      <c r="E3" s="168" t="n"/>
      <c r="F3" s="168" t="n"/>
      <c r="G3" s="168" t="n"/>
      <c r="H3" s="168" t="n"/>
      <c r="I3" s="144" t="inlineStr">
        <is>
          <t>Για συντήρηση</t>
        </is>
      </c>
      <c r="J3" s="145" t="inlineStr">
        <is>
          <t>Λόγω βλαβης ή ατυχήματος</t>
        </is>
      </c>
      <c r="K3" s="137" t="inlineStr">
        <is>
          <t>Ζημιές</t>
        </is>
      </c>
      <c r="L3" s="169" t="n"/>
      <c r="M3" s="179" t="n"/>
      <c r="N3" s="180" t="n"/>
    </row>
    <row r="4" ht="27" customHeight="1">
      <c r="A4" s="181" t="n"/>
      <c r="B4" s="172" t="n"/>
      <c r="C4" s="172" t="n"/>
      <c r="D4" s="172" t="n"/>
      <c r="E4" s="172" t="n"/>
      <c r="F4" s="172" t="n"/>
      <c r="G4" s="172" t="n"/>
      <c r="H4" s="172" t="n"/>
      <c r="I4" s="172" t="n"/>
      <c r="J4" s="172" t="n"/>
      <c r="K4" s="137" t="inlineStr">
        <is>
          <t>Ολικές</t>
        </is>
      </c>
      <c r="L4" s="137" t="inlineStr">
        <is>
          <t>Μερικές</t>
        </is>
      </c>
      <c r="M4" s="182" t="n"/>
      <c r="N4" s="183" t="n"/>
    </row>
    <row r="5" ht="15" customHeight="1">
      <c r="A5" s="161" t="inlineStr">
        <is>
          <t>Νυκτοφρουρές</t>
        </is>
      </c>
      <c r="B5" s="69" t="n"/>
      <c r="C5" s="69" t="n"/>
      <c r="D5" s="69" t="n"/>
      <c r="E5" s="137">
        <f>D5+C5+B5</f>
        <v/>
      </c>
      <c r="F5" s="69" t="inlineStr">
        <is>
          <t>1/4 τόνων</t>
        </is>
      </c>
      <c r="G5" s="137" t="n"/>
      <c r="H5" s="137" t="n"/>
      <c r="I5" s="137" t="n"/>
      <c r="J5" s="137" t="n"/>
      <c r="K5" s="137" t="inlineStr">
        <is>
          <t>Ø</t>
        </is>
      </c>
      <c r="L5" s="137" t="inlineStr">
        <is>
          <t>Ø</t>
        </is>
      </c>
      <c r="M5" s="139" t="inlineStr">
        <is>
          <t>Ø</t>
        </is>
      </c>
      <c r="N5" s="184" t="n"/>
    </row>
    <row r="6" ht="15" customHeight="1">
      <c r="A6" s="161" t="n"/>
      <c r="B6" s="69" t="n"/>
      <c r="C6" s="69" t="n"/>
      <c r="D6" s="69" t="n"/>
      <c r="E6" s="137" t="n"/>
      <c r="F6" s="140" t="n"/>
      <c r="G6" s="185" t="n"/>
      <c r="H6" s="185" t="n"/>
      <c r="I6" s="185" t="n"/>
      <c r="J6" s="185" t="n"/>
      <c r="K6" s="185" t="n"/>
      <c r="L6" s="185" t="n"/>
      <c r="M6" s="185" t="n"/>
      <c r="N6" s="184" t="n"/>
    </row>
    <row r="7" ht="15" customHeight="1">
      <c r="A7" s="161" t="n"/>
      <c r="B7" s="69" t="n"/>
      <c r="C7" s="69" t="n"/>
      <c r="D7" s="69" t="n"/>
      <c r="E7" s="137" t="n"/>
      <c r="F7" s="141" t="n"/>
      <c r="G7" s="185" t="n"/>
      <c r="H7" s="185" t="n"/>
      <c r="I7" s="185" t="n"/>
      <c r="J7" s="169" t="n"/>
      <c r="K7" s="140" t="n"/>
      <c r="L7" s="185" t="n"/>
      <c r="M7" s="185" t="n"/>
      <c r="N7" s="184" t="n"/>
    </row>
    <row r="8" ht="35.1" customHeight="1">
      <c r="A8" s="161" t="inlineStr">
        <is>
          <t>24ώρες</t>
        </is>
      </c>
      <c r="B8" s="69" t="n"/>
      <c r="C8" s="69" t="n"/>
      <c r="D8" s="69" t="n"/>
      <c r="E8" s="137">
        <f>D8+C8+B8</f>
        <v/>
      </c>
      <c r="F8" s="137" t="inlineStr">
        <is>
          <t xml:space="preserve">1. ΕΓΓΡΑΦΕΣ: </t>
        </is>
      </c>
      <c r="G8" s="146" t="n"/>
      <c r="H8" s="185" t="n"/>
      <c r="I8" s="185" t="n"/>
      <c r="J8" s="185" t="n"/>
      <c r="K8" s="169" t="n"/>
      <c r="L8" s="137" t="inlineStr">
        <is>
          <t>Αποφάσεις Διοικητή</t>
        </is>
      </c>
      <c r="M8" s="185" t="n"/>
      <c r="N8" s="169" t="n"/>
    </row>
    <row r="9" ht="35.1" customHeight="1">
      <c r="A9" s="161" t="n"/>
      <c r="B9" s="69" t="n"/>
      <c r="C9" s="69" t="n"/>
      <c r="D9" s="69" t="n"/>
      <c r="E9" s="137" t="n"/>
      <c r="F9" s="137" t="inlineStr">
        <is>
          <t xml:space="preserve">2. ΔΙΑΓΡΑΦΕΣ: </t>
        </is>
      </c>
      <c r="G9" s="142" t="n"/>
      <c r="H9" s="185" t="n"/>
      <c r="I9" s="185" t="n"/>
      <c r="J9" s="185" t="n"/>
      <c r="K9" s="169" t="n"/>
      <c r="L9" s="139" t="n"/>
      <c r="M9" s="185" t="n"/>
      <c r="N9" s="184" t="n"/>
    </row>
    <row r="10" ht="35.1" customHeight="1">
      <c r="A10" s="161" t="n"/>
      <c r="B10" s="69" t="n"/>
      <c r="C10" s="69" t="n"/>
      <c r="D10" s="69" t="n"/>
      <c r="E10" s="137" t="n"/>
      <c r="F10" s="146" t="inlineStr">
        <is>
          <t xml:space="preserve">3. ΑΔΕΙΕΣ: </t>
        </is>
      </c>
      <c r="G10" s="142" t="n"/>
      <c r="H10" s="185" t="n"/>
      <c r="I10" s="185" t="n"/>
      <c r="J10" s="185" t="n"/>
      <c r="K10" s="169" t="n"/>
      <c r="L10" s="139" t="n"/>
      <c r="M10" s="185" t="n"/>
      <c r="N10" s="184" t="n"/>
    </row>
    <row r="11" ht="35.1" customHeight="1">
      <c r="A11" s="161" t="inlineStr">
        <is>
          <t>Πέραν 24ώρου</t>
        </is>
      </c>
      <c r="B11" s="69" t="n"/>
      <c r="C11" s="69" t="n"/>
      <c r="D11" s="69" t="n"/>
      <c r="E11" s="137">
        <f>D11+C11+B11</f>
        <v/>
      </c>
      <c r="F11" s="102" t="inlineStr">
        <is>
          <t xml:space="preserve">4. ΠΟΙΝΕΣ: 
</t>
        </is>
      </c>
      <c r="G11" s="142" t="n"/>
      <c r="H11" s="185" t="n"/>
      <c r="I11" s="185" t="n"/>
      <c r="J11" s="185" t="n"/>
      <c r="K11" s="169" t="n"/>
      <c r="L11" s="139" t="n"/>
      <c r="M11" s="185" t="n"/>
      <c r="N11" s="184" t="n"/>
    </row>
    <row r="12" ht="42" customHeight="1">
      <c r="A12" s="161" t="n"/>
      <c r="B12" s="69" t="n"/>
      <c r="C12" s="69" t="n"/>
      <c r="D12" s="69" t="n"/>
      <c r="E12" s="137" t="n"/>
      <c r="F12" s="146" t="inlineStr">
        <is>
          <t xml:space="preserve">5.ΑΙΤΗΣΕΙΣ:    </t>
        </is>
      </c>
      <c r="G12" s="142" t="n"/>
      <c r="H12" s="185" t="n"/>
      <c r="I12" s="185" t="n"/>
      <c r="J12" s="185" t="n"/>
      <c r="K12" s="169" t="n"/>
      <c r="L12" s="137" t="n"/>
      <c r="M12" s="185" t="n"/>
      <c r="N12" s="169" t="n"/>
    </row>
    <row r="13" ht="30" customHeight="1">
      <c r="A13" s="161" t="n"/>
      <c r="B13" s="69" t="n"/>
      <c r="C13" s="69" t="n"/>
      <c r="D13" s="69" t="n"/>
      <c r="E13" s="137" t="n"/>
      <c r="F13" s="168" t="n"/>
      <c r="G13" s="142" t="n"/>
      <c r="H13" s="185" t="n"/>
      <c r="I13" s="185" t="n"/>
      <c r="J13" s="185" t="n"/>
      <c r="K13" s="169" t="n"/>
      <c r="L13" s="137" t="n"/>
      <c r="M13" s="185" t="n"/>
      <c r="N13" s="169" t="n"/>
    </row>
    <row r="14" ht="30" customHeight="1">
      <c r="A14" s="161" t="n"/>
      <c r="B14" s="69" t="n"/>
      <c r="C14" s="69" t="n"/>
      <c r="D14" s="69" t="n"/>
      <c r="E14" s="137" t="n"/>
      <c r="F14" s="168" t="n"/>
      <c r="G14" s="142" t="n"/>
      <c r="H14" s="185" t="n"/>
      <c r="I14" s="185" t="n"/>
      <c r="J14" s="185" t="n"/>
      <c r="K14" s="169" t="n"/>
      <c r="L14" s="109" t="n"/>
      <c r="M14" s="109" t="n"/>
      <c r="N14" s="109" t="n"/>
    </row>
    <row r="15" ht="30" customHeight="1">
      <c r="A15" s="161" t="inlineStr">
        <is>
          <t>Σύνολο</t>
        </is>
      </c>
      <c r="B15" s="137">
        <f>B5+B8+B11</f>
        <v/>
      </c>
      <c r="C15" s="137">
        <f>C5+C8+C11</f>
        <v/>
      </c>
      <c r="D15" s="137">
        <f>D5+D8+D11</f>
        <v/>
      </c>
      <c r="E15" s="137">
        <f>E5+E8+E11</f>
        <v/>
      </c>
      <c r="F15" s="168" t="n"/>
      <c r="G15" s="142" t="n"/>
      <c r="H15" s="185" t="n"/>
      <c r="I15" s="185" t="n"/>
      <c r="J15" s="185" t="n"/>
      <c r="K15" s="169" t="n"/>
      <c r="L15" s="109" t="n"/>
      <c r="M15" s="109" t="n"/>
      <c r="N15" s="109" t="n"/>
    </row>
    <row r="16" ht="30" customHeight="1">
      <c r="A16" s="135" t="inlineStr">
        <is>
          <t>Όργανα Υπηρεσίας</t>
        </is>
      </c>
      <c r="B16" s="185" t="n"/>
      <c r="C16" s="185" t="n"/>
      <c r="D16" s="185" t="n"/>
      <c r="E16" s="169" t="n"/>
      <c r="F16" s="168" t="n"/>
      <c r="G16" s="142" t="n"/>
      <c r="H16" s="185" t="n"/>
      <c r="I16" s="185" t="n"/>
      <c r="J16" s="185" t="n"/>
      <c r="K16" s="169" t="n"/>
      <c r="L16" s="109" t="n"/>
      <c r="M16" s="109" t="n"/>
      <c r="N16" s="109" t="n"/>
    </row>
    <row r="17" ht="30" customHeight="1">
      <c r="A17" s="162" t="inlineStr">
        <is>
          <t>Αξιωματικοί:</t>
        </is>
      </c>
      <c r="B17" s="185" t="n"/>
      <c r="C17" s="185" t="n"/>
      <c r="D17" s="185" t="n"/>
      <c r="E17" s="169" t="n"/>
      <c r="F17" s="168" t="n"/>
      <c r="G17" s="142" t="n"/>
      <c r="H17" s="185" t="n"/>
      <c r="I17" s="185" t="n"/>
      <c r="J17" s="185" t="n"/>
      <c r="K17" s="169" t="n"/>
      <c r="L17" s="109" t="n"/>
      <c r="M17" s="109" t="n"/>
      <c r="N17" s="109" t="n"/>
    </row>
    <row r="18" ht="30" customHeight="1">
      <c r="A18" s="162" t="n"/>
      <c r="B18" s="162" t="n"/>
      <c r="C18" s="162" t="n"/>
      <c r="D18" s="162" t="n"/>
      <c r="E18" s="162" t="n"/>
      <c r="F18" s="172" t="n"/>
      <c r="G18" s="142" t="n"/>
      <c r="H18" s="185" t="n"/>
      <c r="I18" s="185" t="n"/>
      <c r="J18" s="185" t="n"/>
      <c r="K18" s="169" t="n"/>
      <c r="L18" s="109" t="n"/>
      <c r="M18" s="109" t="n"/>
      <c r="N18" s="109" t="n"/>
    </row>
    <row r="19" ht="35.1" customHeight="1">
      <c r="A19" s="162" t="n"/>
      <c r="B19" s="162" t="n"/>
      <c r="C19" s="162" t="n"/>
      <c r="D19" s="162" t="n"/>
      <c r="E19" s="162" t="n"/>
      <c r="F19" s="146" t="inlineStr">
        <is>
          <t>6. ΛΟΙΠΑ:</t>
        </is>
      </c>
      <c r="G19" s="142" t="n"/>
      <c r="H19" s="185" t="n"/>
      <c r="I19" s="185" t="n"/>
      <c r="J19" s="185" t="n"/>
      <c r="K19" s="169" t="n"/>
      <c r="L19" s="109" t="n"/>
      <c r="M19" s="109" t="n"/>
      <c r="N19" s="109" t="n"/>
    </row>
    <row r="20" ht="30" customHeight="1">
      <c r="A20" s="162" t="n"/>
      <c r="B20" s="162" t="n"/>
      <c r="C20" s="162" t="n"/>
      <c r="D20" s="162" t="n"/>
      <c r="E20" s="162" t="n"/>
      <c r="F20" s="70" t="n"/>
      <c r="G20" s="146" t="inlineStr">
        <is>
          <t xml:space="preserve">ΑΝΑΦΕΡΕΤΑΙ ΠΛΗΡΟΤΗΤΑ ΟΠΛΙΣΜΟΥ ΚΑΙ ΛΟΙΠΩΝ ΕΛΚΥΣΤΙΚΩΝ ΥΛΙΚΩΝ </t>
        </is>
      </c>
      <c r="H20" s="186" t="n"/>
      <c r="I20" s="186" t="n"/>
      <c r="J20" s="186" t="n"/>
      <c r="K20" s="187" t="n"/>
      <c r="L20" s="109" t="n"/>
      <c r="M20" s="109" t="n"/>
      <c r="N20" s="109" t="n"/>
    </row>
    <row r="21" ht="30" customHeight="1">
      <c r="A21" s="161" t="inlineStr">
        <is>
          <t>Υπαξιωματικοί:</t>
        </is>
      </c>
      <c r="B21" s="185" t="n"/>
      <c r="C21" s="185" t="n"/>
      <c r="D21" s="185" t="n"/>
      <c r="E21" s="169" t="n"/>
      <c r="F21" s="70" t="n"/>
      <c r="G21" s="182" t="n"/>
      <c r="H21" s="188" t="n"/>
      <c r="I21" s="188" t="n"/>
      <c r="J21" s="188" t="n"/>
      <c r="K21" s="189" t="n"/>
      <c r="L21" s="109" t="n"/>
      <c r="M21" s="109" t="n"/>
      <c r="N21" s="109" t="n"/>
    </row>
    <row r="22"/>
    <row r="23" ht="15" customHeight="1">
      <c r="F23" s="131" t="n"/>
      <c r="L23" s="131" t="inlineStr">
        <is>
          <t xml:space="preserve">Αυλώνας, </t>
        </is>
      </c>
    </row>
    <row r="24" ht="15" customHeight="1">
      <c r="C24" s="131" t="n"/>
      <c r="D24" s="112" t="n"/>
      <c r="E24" s="112" t="n"/>
      <c r="F24" s="131" t="n"/>
      <c r="G24" s="112" t="n"/>
      <c r="H24" s="112" t="n"/>
      <c r="L24" s="131" t="n"/>
    </row>
    <row r="25" ht="15.75" customHeight="1">
      <c r="C25" s="112" t="n"/>
      <c r="D25" s="131" t="n"/>
      <c r="E25" s="131" t="n"/>
      <c r="G25" s="131" t="inlineStr">
        <is>
          <t>-Ο-</t>
        </is>
      </c>
      <c r="K25" s="2" t="n"/>
      <c r="L25" s="131" t="inlineStr">
        <is>
          <t>-Ο-</t>
        </is>
      </c>
      <c r="M25" s="151" t="n"/>
      <c r="N25" s="131" t="n"/>
      <c r="O25" s="151" t="n"/>
      <c r="P25" s="151" t="n"/>
    </row>
    <row r="26">
      <c r="C26" s="112" t="n"/>
      <c r="D26" s="131" t="n"/>
      <c r="E26" s="112" t="n"/>
      <c r="G26" s="131" t="inlineStr">
        <is>
          <t>ΑΛΧΙΑΣ ΙΛΗΣ</t>
        </is>
      </c>
      <c r="K26" s="2" t="n"/>
      <c r="L26" s="131" t="inlineStr">
        <is>
          <t>ΔΙΟΙΚΗΤΗΣ ΙΛΗΣ</t>
        </is>
      </c>
      <c r="M26" s="131" t="n"/>
      <c r="N26" s="131" t="n"/>
      <c r="O26" s="131" t="n"/>
      <c r="P26" s="2" t="n"/>
    </row>
    <row r="27">
      <c r="C27" s="112" t="n"/>
      <c r="D27" s="112" t="n"/>
      <c r="E27" s="112" t="n"/>
      <c r="G27" s="2" t="n"/>
      <c r="H27" s="131" t="n"/>
      <c r="K27" s="2" t="n"/>
      <c r="L27" s="147" t="n"/>
      <c r="M27" s="131" t="n"/>
      <c r="P27" s="2" t="n"/>
    </row>
    <row r="28">
      <c r="C28" s="112" t="n"/>
      <c r="D28" s="112" t="n"/>
      <c r="E28" s="112" t="n"/>
      <c r="G28" s="2" t="n"/>
      <c r="H28" s="131" t="n"/>
      <c r="I28" s="131" t="n"/>
      <c r="J28" s="131" t="n"/>
      <c r="K28" s="2" t="n"/>
      <c r="L28" s="131" t="n"/>
      <c r="M28" s="131" t="n"/>
      <c r="N28" s="131" t="n"/>
      <c r="O28" s="131" t="n"/>
      <c r="P28" s="131" t="n"/>
    </row>
    <row r="29">
      <c r="C29" s="112" t="n"/>
      <c r="D29" s="112" t="n"/>
      <c r="E29" s="112" t="n"/>
      <c r="G29" s="2" t="n"/>
      <c r="H29" s="112" t="n"/>
      <c r="I29" s="112" t="n"/>
      <c r="J29" s="112" t="n"/>
      <c r="K29" s="2" t="n"/>
      <c r="L29" s="131" t="n"/>
      <c r="M29" s="131" t="n"/>
      <c r="N29" s="131" t="n"/>
      <c r="O29" s="131" t="n"/>
      <c r="P29" s="131" t="n"/>
    </row>
    <row r="30">
      <c r="C30" s="112" t="n"/>
      <c r="D30" s="112" t="n"/>
      <c r="E30" s="112" t="n"/>
      <c r="G30" s="2" t="n"/>
      <c r="H30" s="2" t="n"/>
      <c r="I30" s="2" t="n"/>
      <c r="J30" s="2" t="n"/>
      <c r="K30" s="2" t="n"/>
      <c r="L30" s="147" t="n"/>
      <c r="M30" s="2" t="n"/>
      <c r="N30" s="2" t="n"/>
      <c r="O30" s="2" t="n"/>
      <c r="P30" s="2" t="n"/>
    </row>
    <row r="31">
      <c r="G31" s="131" t="n"/>
      <c r="J31" s="131" t="n"/>
      <c r="K31" s="131" t="n"/>
      <c r="L31" s="131" t="n"/>
      <c r="M31" s="151" t="n"/>
      <c r="N31" s="151" t="n"/>
      <c r="O31" s="151" t="n"/>
      <c r="P31" s="151" t="n"/>
    </row>
    <row r="32" ht="15.75" customHeight="1">
      <c r="G32" s="147" t="n"/>
      <c r="J32" s="112" t="n"/>
      <c r="K32" s="112" t="n"/>
      <c r="L32" s="112" t="n"/>
      <c r="M32" s="2" t="n"/>
      <c r="O32" s="112" t="n"/>
      <c r="P32" s="112" t="n"/>
    </row>
    <row r="33">
      <c r="K33" s="71" t="n"/>
      <c r="L33" s="131" t="n"/>
    </row>
    <row r="34">
      <c r="I34" s="151" t="n"/>
      <c r="K34" s="71" t="n"/>
    </row>
    <row r="35">
      <c r="F35" s="151" t="n"/>
      <c r="I35" s="151" t="n"/>
      <c r="K35" s="71" t="n"/>
    </row>
    <row r="36">
      <c r="G36" s="151" t="n"/>
      <c r="H36" s="151" t="n"/>
      <c r="I36" s="151" t="n"/>
      <c r="K36" s="71" t="n"/>
    </row>
    <row r="37">
      <c r="F37" s="151" t="n"/>
      <c r="G37" s="151" t="n"/>
      <c r="H37" s="151" t="n"/>
      <c r="I37" s="151" t="n"/>
      <c r="K37" s="71" t="n"/>
    </row>
    <row r="38">
      <c r="F38" s="72" t="n"/>
      <c r="G38" s="151" t="n"/>
      <c r="H38" s="151" t="n"/>
      <c r="I38" s="151" t="n"/>
      <c r="K38" s="71" t="n"/>
    </row>
    <row r="39">
      <c r="F39" s="151" t="n"/>
      <c r="G39" s="151" t="n"/>
      <c r="H39" s="151" t="n"/>
      <c r="I39" s="151" t="n"/>
      <c r="K39" s="71" t="n"/>
    </row>
    <row r="40">
      <c r="F40" s="151" t="n"/>
      <c r="G40" s="151" t="n"/>
      <c r="H40" s="151" t="n"/>
      <c r="I40" s="151" t="n"/>
      <c r="K40" s="71" t="n"/>
    </row>
    <row r="41">
      <c r="D41" s="112" t="n"/>
      <c r="F41" s="151" t="n"/>
      <c r="G41" s="151" t="n"/>
      <c r="H41" s="151" t="n"/>
      <c r="I41" s="151" t="n"/>
      <c r="K41" s="71" t="n"/>
    </row>
    <row r="42">
      <c r="D42" s="112" t="n"/>
      <c r="F42" s="151" t="n"/>
      <c r="G42" s="151" t="n"/>
      <c r="H42" s="151" t="n"/>
      <c r="I42" s="151" t="n"/>
      <c r="K42" s="71" t="n"/>
    </row>
    <row r="43">
      <c r="F43" s="151" t="n"/>
      <c r="G43" s="151" t="n"/>
      <c r="H43" s="151" t="n"/>
      <c r="I43" s="151" t="n"/>
      <c r="K43" s="71" t="n"/>
    </row>
    <row r="44">
      <c r="F44" s="151" t="n"/>
      <c r="G44" s="151" t="n"/>
      <c r="H44" s="151" t="n"/>
      <c r="I44" s="151" t="n"/>
      <c r="K44" s="71" t="n"/>
    </row>
    <row r="45">
      <c r="F45" s="151" t="n"/>
      <c r="G45" s="151" t="n"/>
      <c r="H45" s="151" t="n"/>
      <c r="I45" s="151" t="n"/>
      <c r="K45" s="71" t="n"/>
    </row>
    <row r="46">
      <c r="F46" s="151" t="n"/>
      <c r="G46" s="151" t="n"/>
      <c r="H46" s="151" t="n"/>
      <c r="I46" s="151" t="n"/>
      <c r="K46" s="71" t="n"/>
    </row>
    <row r="47">
      <c r="F47" s="151" t="n"/>
      <c r="G47" s="151" t="n"/>
      <c r="H47" s="151" t="n"/>
      <c r="I47" s="151" t="n"/>
      <c r="K47" s="143" t="n"/>
    </row>
    <row r="48">
      <c r="F48" s="151" t="n"/>
      <c r="G48" s="151" t="n"/>
      <c r="H48" s="151" t="n"/>
      <c r="I48" s="151" t="n"/>
      <c r="K48" s="71" t="n"/>
    </row>
    <row r="49">
      <c r="F49" s="151" t="n"/>
      <c r="G49" s="151" t="n"/>
      <c r="H49" s="151" t="n"/>
      <c r="I49" s="151" t="n"/>
      <c r="K49" s="71" t="n"/>
    </row>
    <row r="50">
      <c r="F50" s="151" t="n"/>
      <c r="G50" s="151" t="n"/>
      <c r="H50" s="151" t="n"/>
      <c r="I50" s="151" t="n"/>
      <c r="K50" s="71" t="n"/>
    </row>
    <row r="51">
      <c r="F51" s="151" t="n"/>
      <c r="G51" s="151" t="n"/>
      <c r="H51" s="151" t="n"/>
      <c r="I51" s="151" t="n"/>
      <c r="K51" s="71" t="n"/>
    </row>
    <row r="52">
      <c r="F52" s="151" t="n"/>
      <c r="K52" s="71" t="n"/>
    </row>
    <row r="53">
      <c r="F53" s="151" t="n"/>
      <c r="G53" s="151" t="n"/>
      <c r="H53" s="151" t="n"/>
      <c r="I53" s="151" t="n"/>
      <c r="K53" s="71" t="n"/>
    </row>
    <row r="54">
      <c r="F54" s="151" t="n"/>
      <c r="K54" s="71" t="n"/>
    </row>
    <row r="55">
      <c r="F55" s="151" t="n"/>
      <c r="G55" s="151" t="n"/>
      <c r="H55" s="151" t="n"/>
      <c r="I55" s="151" t="n"/>
      <c r="K55" s="71" t="n"/>
    </row>
    <row r="56">
      <c r="F56" s="151" t="n"/>
      <c r="K56" s="143" t="n"/>
    </row>
    <row r="57">
      <c r="F57" s="151" t="n"/>
      <c r="G57" s="151" t="n"/>
      <c r="H57" s="151" t="n"/>
      <c r="I57" s="151" t="n"/>
      <c r="K57" s="143" t="n"/>
    </row>
    <row r="58">
      <c r="F58" s="151" t="n"/>
      <c r="G58" s="151" t="n"/>
      <c r="H58" s="151" t="n"/>
      <c r="I58" s="151" t="n"/>
      <c r="K58" s="143" t="n"/>
    </row>
    <row r="59">
      <c r="K59" s="143" t="n"/>
    </row>
    <row r="60">
      <c r="F60" s="151" t="n"/>
      <c r="G60" s="151" t="n"/>
      <c r="H60" s="151" t="n"/>
      <c r="I60" s="151" t="n"/>
      <c r="K60" s="143" t="n"/>
    </row>
    <row r="61">
      <c r="F61" s="151" t="n"/>
      <c r="G61" s="151" t="n"/>
      <c r="H61" s="151" t="n"/>
      <c r="I61" s="151" t="n"/>
      <c r="K61" s="143" t="n"/>
    </row>
    <row r="62">
      <c r="F62" s="151" t="n"/>
      <c r="G62" s="151" t="n"/>
      <c r="H62" s="151" t="n"/>
      <c r="I62" s="151" t="n"/>
      <c r="K62" s="143" t="n"/>
    </row>
    <row r="63">
      <c r="F63" s="151" t="n"/>
      <c r="G63" s="151" t="n"/>
      <c r="H63" s="151" t="n"/>
      <c r="I63" s="151" t="n"/>
      <c r="K63" s="143" t="n"/>
    </row>
    <row r="64">
      <c r="F64" s="71" t="n"/>
      <c r="G64" s="71" t="n"/>
      <c r="H64" s="71" t="n"/>
      <c r="I64" s="71" t="n"/>
      <c r="K64" s="143" t="n"/>
    </row>
    <row r="65">
      <c r="F65" s="71" t="n"/>
      <c r="G65" s="71" t="n"/>
      <c r="H65" s="71" t="n"/>
      <c r="I65" s="71" t="n"/>
      <c r="K65" s="143" t="n"/>
    </row>
    <row r="66">
      <c r="F66" s="71" t="n"/>
      <c r="G66" s="71" t="n"/>
      <c r="H66" s="71" t="n"/>
      <c r="I66" s="71" t="n"/>
      <c r="K66" s="143" t="n"/>
    </row>
    <row r="67">
      <c r="F67" s="143" t="n"/>
      <c r="G67" s="143" t="n"/>
      <c r="H67" s="143" t="n"/>
      <c r="I67" s="143" t="n"/>
      <c r="K67" s="143" t="n"/>
    </row>
    <row r="68">
      <c r="F68" s="143" t="n"/>
      <c r="G68" s="143" t="n"/>
      <c r="H68" s="143" t="n"/>
      <c r="I68" s="143" t="n"/>
      <c r="K68" s="143" t="n"/>
    </row>
    <row r="69">
      <c r="F69" s="143" t="n"/>
      <c r="G69" s="143" t="n"/>
      <c r="H69" s="143" t="n"/>
      <c r="I69" s="143" t="n"/>
      <c r="K69" s="143" t="n"/>
    </row>
    <row r="70">
      <c r="F70" s="143" t="n"/>
      <c r="G70" s="143" t="n"/>
      <c r="H70" s="143" t="n"/>
      <c r="I70" s="143" t="n"/>
      <c r="K70" s="143" t="n"/>
    </row>
    <row r="71">
      <c r="F71" s="143" t="n"/>
      <c r="G71" s="143" t="n"/>
      <c r="H71" s="143" t="n"/>
      <c r="I71" s="143" t="n"/>
      <c r="K71" s="143" t="n"/>
    </row>
    <row r="72">
      <c r="F72" s="143" t="n"/>
      <c r="G72" s="143" t="n"/>
      <c r="H72" s="143" t="n"/>
      <c r="I72" s="143" t="n"/>
      <c r="K72" s="143" t="n"/>
    </row>
    <row r="73">
      <c r="F73" s="143" t="n"/>
      <c r="G73" s="143" t="n"/>
      <c r="H73" s="143" t="n"/>
      <c r="I73" s="143" t="n"/>
      <c r="K73" s="143" t="n"/>
    </row>
    <row r="74">
      <c r="F74" s="143" t="n"/>
      <c r="G74" s="143" t="n"/>
      <c r="H74" s="143" t="n"/>
      <c r="I74" s="143" t="n"/>
      <c r="K74" s="143" t="n"/>
    </row>
    <row r="75">
      <c r="F75" s="143" t="n"/>
      <c r="G75" s="143" t="n"/>
      <c r="H75" s="143" t="n"/>
      <c r="I75" s="143" t="n"/>
      <c r="K75" s="143" t="n"/>
    </row>
    <row r="76">
      <c r="F76" s="143" t="n"/>
      <c r="G76" s="143" t="n"/>
      <c r="H76" s="143" t="n"/>
      <c r="I76" s="143" t="n"/>
      <c r="K76" s="143" t="n"/>
    </row>
    <row r="77">
      <c r="F77" s="143" t="n"/>
      <c r="G77" s="143" t="n"/>
      <c r="H77" s="143" t="n"/>
      <c r="I77" s="143" t="n"/>
      <c r="K77" s="143" t="n"/>
    </row>
    <row r="78">
      <c r="F78" s="143" t="n"/>
      <c r="G78" s="143" t="n"/>
      <c r="H78" s="143" t="n"/>
      <c r="I78" s="143" t="n"/>
      <c r="K78" s="143" t="inlineStr">
        <is>
          <t>`</t>
        </is>
      </c>
    </row>
    <row r="79">
      <c r="F79" s="143" t="n"/>
      <c r="G79" s="143" t="n"/>
      <c r="H79" s="143" t="n"/>
      <c r="I79" s="143" t="n"/>
      <c r="K79" s="143" t="n"/>
    </row>
    <row r="80">
      <c r="F80" s="143" t="n"/>
      <c r="G80" s="143" t="n"/>
      <c r="H80" s="143" t="n"/>
      <c r="I80" s="143" t="n"/>
      <c r="K80" s="143" t="n"/>
    </row>
    <row r="81">
      <c r="F81" s="143" t="n"/>
      <c r="G81" s="143" t="n"/>
      <c r="H81" s="143" t="n"/>
      <c r="I81" s="143" t="n"/>
      <c r="J81" s="143" t="n"/>
      <c r="K81" s="143" t="n"/>
    </row>
    <row r="82">
      <c r="F82" s="143" t="n"/>
      <c r="G82" s="143" t="n"/>
      <c r="H82" s="143" t="n"/>
      <c r="I82" s="143" t="n"/>
      <c r="K82" s="143" t="n"/>
    </row>
    <row r="83">
      <c r="F83" s="143" t="n"/>
      <c r="G83" s="143" t="n"/>
      <c r="H83" s="143" t="n"/>
      <c r="I83" s="143" t="n"/>
      <c r="K83" s="143" t="n"/>
    </row>
    <row r="84">
      <c r="F84" s="143" t="n"/>
      <c r="G84" s="143" t="n"/>
      <c r="H84" s="143" t="n"/>
      <c r="I84" s="143" t="n"/>
      <c r="K84" s="143" t="n"/>
    </row>
    <row r="85">
      <c r="F85" s="143" t="n"/>
      <c r="G85" s="143" t="n"/>
      <c r="H85" s="143" t="n"/>
      <c r="I85" s="143" t="n"/>
      <c r="K85" s="143" t="n"/>
    </row>
    <row r="86">
      <c r="F86" s="143" t="n"/>
      <c r="G86" s="143" t="n"/>
      <c r="H86" s="143" t="n"/>
      <c r="I86" s="143" t="n"/>
      <c r="K86" s="143" t="n"/>
    </row>
    <row r="87">
      <c r="F87" s="143" t="n"/>
      <c r="G87" s="143" t="n"/>
      <c r="H87" s="143" t="n"/>
      <c r="I87" s="143" t="n"/>
      <c r="K87" s="143" t="n"/>
    </row>
    <row r="88">
      <c r="F88" s="143" t="n"/>
      <c r="K88" s="143" t="n"/>
    </row>
    <row r="89">
      <c r="D89" s="143" t="n"/>
      <c r="F89" s="143" t="n"/>
      <c r="H89" s="112" t="n"/>
      <c r="I89" s="112" t="n"/>
      <c r="K89" s="143" t="n"/>
    </row>
    <row r="90">
      <c r="F90" s="143" t="n"/>
      <c r="G90" s="143" t="n"/>
      <c r="H90" s="143" t="n"/>
      <c r="I90" s="143" t="n"/>
      <c r="K90" s="143" t="n"/>
    </row>
    <row r="91">
      <c r="F91" s="143" t="n"/>
      <c r="G91" s="143" t="n"/>
      <c r="H91" s="143" t="n"/>
      <c r="I91" s="143" t="n"/>
      <c r="J91" s="143" t="n"/>
      <c r="K91" s="143" t="n"/>
    </row>
    <row r="92">
      <c r="I92" s="75" t="n"/>
      <c r="J92" s="75" t="n"/>
      <c r="K92" s="143" t="n"/>
    </row>
    <row r="93">
      <c r="I93" s="143" t="n"/>
      <c r="J93" s="143" t="n"/>
    </row>
    <row r="94">
      <c r="G94" s="143" t="n"/>
      <c r="H94" s="143" t="n"/>
      <c r="I94" s="143" t="n"/>
      <c r="J94" s="143" t="n"/>
    </row>
    <row r="98">
      <c r="G98" s="143" t="n"/>
      <c r="H98" s="143" t="n"/>
      <c r="I98" s="143" t="n"/>
      <c r="J98" s="143" t="n"/>
    </row>
    <row r="99">
      <c r="J99" s="143" t="n"/>
    </row>
    <row r="102">
      <c r="F102" s="143" t="n"/>
    </row>
    <row r="103">
      <c r="F103" s="143" t="n"/>
    </row>
    <row r="104">
      <c r="F104" s="143" t="n"/>
      <c r="H104" s="143" t="n"/>
      <c r="I104" s="143" t="n"/>
      <c r="J104" s="143" t="n"/>
    </row>
  </sheetData>
  <mergeCells count="53">
    <mergeCell ref="G12:K12"/>
    <mergeCell ref="A2:A4"/>
    <mergeCell ref="F103:J103"/>
    <mergeCell ref="C2:C4"/>
    <mergeCell ref="I2:J2"/>
    <mergeCell ref="K3:L3"/>
    <mergeCell ref="F35:H35"/>
    <mergeCell ref="G20:K21"/>
    <mergeCell ref="G11:K11"/>
    <mergeCell ref="L8:N8"/>
    <mergeCell ref="A1:E1"/>
    <mergeCell ref="M5:N5"/>
    <mergeCell ref="K7:N7"/>
    <mergeCell ref="G8:K8"/>
    <mergeCell ref="G17:K17"/>
    <mergeCell ref="F7:J7"/>
    <mergeCell ref="L10:N10"/>
    <mergeCell ref="M27:O27"/>
    <mergeCell ref="A16:E16"/>
    <mergeCell ref="M2:N4"/>
    <mergeCell ref="H27:J27"/>
    <mergeCell ref="I3:I4"/>
    <mergeCell ref="L9:N9"/>
    <mergeCell ref="G10:K10"/>
    <mergeCell ref="G19:K19"/>
    <mergeCell ref="G13:K13"/>
    <mergeCell ref="G26:I26"/>
    <mergeCell ref="G18:K18"/>
    <mergeCell ref="G25:I25"/>
    <mergeCell ref="A21:E21"/>
    <mergeCell ref="L11:N11"/>
    <mergeCell ref="G32:I32"/>
    <mergeCell ref="G15:K15"/>
    <mergeCell ref="K2:L2"/>
    <mergeCell ref="G31:I31"/>
    <mergeCell ref="G2:G4"/>
    <mergeCell ref="G14:K14"/>
    <mergeCell ref="J3:J4"/>
    <mergeCell ref="F102:J102"/>
    <mergeCell ref="K1:N1"/>
    <mergeCell ref="B2:B4"/>
    <mergeCell ref="A17:E17"/>
    <mergeCell ref="D2:D4"/>
    <mergeCell ref="F12:F18"/>
    <mergeCell ref="G16:K16"/>
    <mergeCell ref="L13:N13"/>
    <mergeCell ref="F6:N6"/>
    <mergeCell ref="F2:F4"/>
    <mergeCell ref="H2:H4"/>
    <mergeCell ref="L12:N12"/>
    <mergeCell ref="F1:J1"/>
    <mergeCell ref="G9:K9"/>
    <mergeCell ref="E2:E4"/>
  </mergeCells>
  <pageMargins left="0.2362204724409449" right="0.2362204724409449" top="0.7480314960629921" bottom="0.7480314960629921" header="0.3149606299212598" footer="0.3149606299212598"/>
  <pageSetup orientation="landscape" paperSize="9" scale="5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Γραφείο Ίλης</dc:creator>
  <dc:language xmlns:dc="http://purl.org/dc/elements/1.1/">el-GR</dc:language>
  <dcterms:created xmlns:dcterms="http://purl.org/dc/terms/" xmlns:xsi="http://www.w3.org/2001/XMLSchema-instance" xsi:type="dcterms:W3CDTF">2018-05-03T04:13:08Z</dcterms:created>
  <dcterms:modified xmlns:dcterms="http://purl.org/dc/terms/" xmlns:xsi="http://www.w3.org/2001/XMLSchema-instance" xsi:type="dcterms:W3CDTF">2026-10-10T14:48:55Z</dcterms:modified>
  <cp:lastModifiedBy/>
  <cp:revision>27</cp:revision>
</cp:coreProperties>
</file>